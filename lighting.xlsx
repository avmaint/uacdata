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00" yWindow="660" windowWidth="26040" windowHeight="14940" tabRatio="600" firstSheet="0" activeTab="2" autoFilterDateGrouping="1"/>
  </bookViews>
  <sheets>
    <sheet name="DMX counts" sheetId="1" state="visible" r:id="rId1"/>
    <sheet name="DMX.Details" sheetId="2" state="visible" r:id="rId2"/>
    <sheet name="Fixtures" sheetId="3" state="visible" r:id="rId3"/>
    <sheet name="CS40.Playback" sheetId="4" state="visible" r:id="rId4"/>
  </sheets>
  <externalReferences>
    <externalReference r:id="rId5"/>
  </externalReferences>
  <definedNames>
    <definedName name="taxrate">'[1]mixer costs'!$I$2</definedName>
    <definedName name="_xlnm._FilterDatabase" localSheetId="2" hidden="1">'Fixtures'!$A$1:$R$164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Helvetica Neue"/>
      <family val="2"/>
      <color theme="1"/>
      <sz val="12"/>
    </font>
    <font>
      <name val="Helvetica Neue"/>
      <family val="2"/>
      <color rgb="FF000000"/>
      <sz val="12"/>
    </font>
    <font>
      <name val="Helvetica Neue"/>
      <family val="2"/>
      <b val="1"/>
      <color theme="1"/>
      <sz val="12"/>
    </font>
    <font>
      <name val="Calibri"/>
      <family val="2"/>
      <color rgb="FF000000"/>
      <sz val="12"/>
      <scheme val="minor"/>
    </font>
    <font>
      <name val="Helvetica Neue"/>
      <family val="2"/>
      <b val="1"/>
      <sz val="12"/>
    </font>
    <font>
      <name val="Helvetica Neue"/>
      <family val="2"/>
      <sz val="12"/>
    </font>
    <font>
      <name val="Calibri"/>
      <family val="2"/>
      <sz val="8"/>
      <scheme val="minor"/>
    </font>
    <font>
      <name val="Helvetica Neue"/>
      <sz val="12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2" fillId="4" borderId="2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5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GrandMA3 fixture ID. A range (901-904) means one asset patched as several MA3 fixtures. Blank = not in the MA3 patch. Several rows sharing one ID are an MA3 MultiPatch: only the main row carries Universe/Address/Footprint.</t>
      </text>
    </comment>
    <comment ref="G1" authorId="0" shapeId="0">
      <text>
        <t>Active = installed and patched; Planned = on order / design; Retire = being removed; Not deployed = owned but not hung or patched.</t>
      </text>
    </comment>
    <comment ref="J1" authorId="0" shapeId="0">
      <text>
        <t>DMX start address within Universe - not yet assigned.</t>
      </text>
    </comment>
    <comment ref="L1" authorId="0" shapeId="0">
      <text>
        <t>Position in feet; x negative = east, y negative = toward the back of the room (from DMX.Details / commonLightingPlots.qmd).</t>
      </text>
    </comment>
    <comment ref="O1" authorId="0" shapeId="0">
      <text>
        <t>nx/ny are label nudges used by the commonLightingPlots.qmd diagrams, not positions.</t>
      </text>
    </comment>
    <comment ref="Q1" authorId="0" shapeId="0">
      <text>
        <t>ColorSource 40 channel from DMX.Details.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 Wireless2017"/>
      <sheetName val="mixer costs"/>
      <sheetName val="wireshark filters"/>
      <sheetName val="RackLayout"/>
      <sheetName val="Credentials"/>
      <sheetName val="Software"/>
      <sheetName val="Dante"/>
      <sheetName val="misc"/>
      <sheetName val="Discarded"/>
      <sheetName val="Further"/>
      <sheetName val="TeamOrg"/>
      <sheetName val="TeamStructure"/>
      <sheetName val="TeamSkill"/>
      <sheetName val="People"/>
      <sheetName val="PeopleSkill"/>
    </sheetNames>
    <sheetDataSet>
      <sheetData sheetId="0"/>
      <sheetData sheetId="1">
        <row r="2">
          <cell r="I2">
            <v>0.13742299999999999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0" workbookViewId="0">
      <selection activeCell="A22" sqref="A22"/>
    </sheetView>
  </sheetViews>
  <sheetFormatPr baseColWidth="10" defaultRowHeight="16"/>
  <cols>
    <col width="13.33203125" bestFit="1" customWidth="1" min="1" max="1"/>
    <col width="15.83203125" bestFit="1" customWidth="1" min="3" max="3"/>
  </cols>
  <sheetData>
    <row r="1">
      <c r="C1" t="inlineStr">
        <is>
          <t>Intruments/zones</t>
        </is>
      </c>
      <c r="D1" t="inlineStr">
        <is>
          <t>addresses</t>
        </is>
      </c>
      <c r="E1" t="inlineStr">
        <is>
          <t>total</t>
        </is>
      </c>
    </row>
    <row r="2">
      <c r="A2" t="inlineStr">
        <is>
          <t>Top bar/points</t>
        </is>
      </c>
      <c r="B2" t="inlineStr">
        <is>
          <t>CSP</t>
        </is>
      </c>
      <c r="C2" t="n">
        <v>9</v>
      </c>
      <c r="D2" t="n">
        <v>5</v>
      </c>
      <c r="E2">
        <f>D2*C2</f>
        <v/>
      </c>
    </row>
    <row r="3">
      <c r="A3" t="inlineStr">
        <is>
          <t>foh bar</t>
        </is>
      </c>
      <c r="B3" t="inlineStr">
        <is>
          <t>4wrd</t>
        </is>
      </c>
      <c r="C3" t="n">
        <v>6</v>
      </c>
      <c r="D3" t="n">
        <v>1</v>
      </c>
      <c r="E3">
        <f>D3*C3</f>
        <v/>
      </c>
    </row>
    <row r="4">
      <c r="A4" t="inlineStr">
        <is>
          <t>foh bar</t>
        </is>
      </c>
      <c r="B4" t="inlineStr">
        <is>
          <t>CS Leko</t>
        </is>
      </c>
      <c r="C4" t="n">
        <v>7</v>
      </c>
      <c r="D4" t="n">
        <v>5</v>
      </c>
      <c r="E4">
        <f>D4*C4</f>
        <v/>
      </c>
    </row>
    <row r="5">
      <c r="A5" t="inlineStr">
        <is>
          <t>foh bar</t>
        </is>
      </c>
      <c r="B5" t="inlineStr">
        <is>
          <t>CS Pars</t>
        </is>
      </c>
      <c r="C5" t="n">
        <v>4</v>
      </c>
      <c r="D5" t="n">
        <v>5</v>
      </c>
      <c r="E5">
        <f>D5*C5</f>
        <v/>
      </c>
    </row>
    <row r="6">
      <c r="A6" t="inlineStr">
        <is>
          <t>floor</t>
        </is>
      </c>
      <c r="B6" t="inlineStr">
        <is>
          <t>CS Par</t>
        </is>
      </c>
      <c r="C6" t="n">
        <v>7</v>
      </c>
      <c r="D6" t="n">
        <v>5</v>
      </c>
      <c r="E6">
        <f>D6*C6</f>
        <v/>
      </c>
    </row>
    <row r="7">
      <c r="A7" t="inlineStr">
        <is>
          <t>Stage pots</t>
        </is>
      </c>
      <c r="B7" t="inlineStr">
        <is>
          <t>7 zones</t>
        </is>
      </c>
      <c r="C7" t="n">
        <v>7</v>
      </c>
      <c r="D7" t="n">
        <v>3</v>
      </c>
      <c r="E7">
        <f>D7*C7</f>
        <v/>
      </c>
    </row>
    <row r="8">
      <c r="A8" t="inlineStr">
        <is>
          <t>Sconse</t>
        </is>
      </c>
      <c r="B8" t="inlineStr">
        <is>
          <t>Ketra</t>
        </is>
      </c>
      <c r="C8" t="n">
        <v>1</v>
      </c>
      <c r="D8" t="n">
        <v>3</v>
      </c>
      <c r="E8">
        <f>D8*C8</f>
        <v/>
      </c>
    </row>
    <row r="9">
      <c r="A9" t="inlineStr">
        <is>
          <t>Main House</t>
        </is>
      </c>
      <c r="B9" t="inlineStr">
        <is>
          <t>Ketra</t>
        </is>
      </c>
      <c r="C9" t="n">
        <v>2</v>
      </c>
      <c r="D9" t="n">
        <v>6</v>
      </c>
      <c r="E9">
        <f>D9*C9</f>
        <v/>
      </c>
    </row>
    <row r="10">
      <c r="A10" t="inlineStr">
        <is>
          <t>Upper balcony</t>
        </is>
      </c>
      <c r="B10" t="inlineStr">
        <is>
          <t>Ketra</t>
        </is>
      </c>
      <c r="C10" t="n">
        <v>1</v>
      </c>
      <c r="D10" t="n">
        <v>3</v>
      </c>
      <c r="E10">
        <f>D10*C10</f>
        <v/>
      </c>
    </row>
    <row r="11">
      <c r="A11" t="inlineStr">
        <is>
          <t>Under Balcony</t>
        </is>
      </c>
      <c r="B11" t="inlineStr">
        <is>
          <t>Ketra</t>
        </is>
      </c>
      <c r="C11" t="n">
        <v>1</v>
      </c>
      <c r="D11" t="n">
        <v>3</v>
      </c>
      <c r="E11">
        <f>D11*C11</f>
        <v/>
      </c>
    </row>
    <row r="12">
      <c r="A12" t="inlineStr">
        <is>
          <t>wall wash</t>
        </is>
      </c>
      <c r="B12" t="inlineStr">
        <is>
          <t>ADJs</t>
        </is>
      </c>
      <c r="C12" t="n">
        <v>26</v>
      </c>
      <c r="D12" t="n">
        <v>7</v>
      </c>
      <c r="E12">
        <f>D12*C12</f>
        <v/>
      </c>
    </row>
    <row r="13">
      <c r="E13">
        <f>SUM(E2:E12)</f>
        <v/>
      </c>
    </row>
    <row r="15">
      <c r="A15" t="inlineStr">
        <is>
          <t>Old gear</t>
        </is>
      </c>
      <c r="B15" t="inlineStr">
        <is>
          <t>NSI</t>
        </is>
      </c>
      <c r="C15" t="n">
        <v>16</v>
      </c>
      <c r="D15" t="n">
        <v>1</v>
      </c>
      <c r="E15">
        <f>D15*C15</f>
        <v/>
      </c>
    </row>
    <row r="16">
      <c r="A16" t="inlineStr">
        <is>
          <t>Old gear</t>
        </is>
      </c>
      <c r="B16" t="inlineStr">
        <is>
          <t>LMI</t>
        </is>
      </c>
      <c r="C16" t="n">
        <v>12</v>
      </c>
      <c r="D16" t="n">
        <v>1</v>
      </c>
      <c r="E16">
        <f>D16*C16</f>
        <v/>
      </c>
    </row>
    <row r="17">
      <c r="A17" t="inlineStr">
        <is>
          <t>Old gear</t>
        </is>
      </c>
      <c r="B17" t="inlineStr">
        <is>
          <t>scoller</t>
        </is>
      </c>
      <c r="C17" t="n">
        <v>8</v>
      </c>
      <c r="D17" t="n">
        <v>1</v>
      </c>
      <c r="E17">
        <f>D17*C17</f>
        <v/>
      </c>
    </row>
    <row r="18">
      <c r="A18" t="inlineStr">
        <is>
          <t>Old gear</t>
        </is>
      </c>
      <c r="B18" t="inlineStr">
        <is>
          <t>rotators</t>
        </is>
      </c>
      <c r="C18" t="n">
        <v>2</v>
      </c>
      <c r="D18" t="n">
        <v>2</v>
      </c>
      <c r="E18">
        <f>D18*C18</f>
        <v/>
      </c>
    </row>
    <row r="19">
      <c r="A19" t="inlineStr">
        <is>
          <t>Old gear</t>
        </is>
      </c>
      <c r="B19" t="inlineStr">
        <is>
          <t>AW bars</t>
        </is>
      </c>
      <c r="C19" t="n">
        <v>6</v>
      </c>
      <c r="D19" t="n">
        <v>3</v>
      </c>
      <c r="E19">
        <f>D19*C19</f>
        <v/>
      </c>
    </row>
    <row r="20">
      <c r="E20">
        <f>SUM(E15:E19)</f>
        <v/>
      </c>
    </row>
    <row r="23">
      <c r="G23">
        <f>512-E20-E13</f>
        <v/>
      </c>
    </row>
  </sheetData>
  <pageMargins left="0.75" right="0.75" top="1" bottom="1" header="0.5" footer="0.5"/>
  <pageSetup orientation="portrait" paperSize="0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tabSelected="0" workbookViewId="0">
      <pane ySplit="1" topLeftCell="A45" activePane="bottomLeft" state="frozen"/>
      <selection activeCell="A22" sqref="A22"/>
      <selection pane="bottomLeft" activeCell="A22" sqref="A22"/>
    </sheetView>
  </sheetViews>
  <sheetFormatPr baseColWidth="10" defaultRowHeight="16"/>
  <cols>
    <col width="9.1640625" bestFit="1" customWidth="1" style="3" min="1" max="1"/>
    <col width="8.83203125" bestFit="1" customWidth="1" style="1" min="2" max="2"/>
    <col width="7.5" bestFit="1" customWidth="1" style="2" min="3" max="3"/>
    <col width="14" bestFit="1" customWidth="1" min="4" max="4"/>
    <col width="13.33203125" bestFit="1" customWidth="1" min="5" max="5"/>
    <col width="17.33203125" bestFit="1" customWidth="1" style="1" min="6" max="6"/>
    <col width="10" bestFit="1" customWidth="1" style="1" min="7" max="7"/>
    <col width="11.6640625" bestFit="1" customWidth="1" style="1" min="8" max="8"/>
    <col width="20.6640625" bestFit="1" customWidth="1" min="9" max="9"/>
    <col width="9.5" customWidth="1" style="1" min="10" max="12"/>
    <col width="9.5" customWidth="1" min="13" max="14"/>
  </cols>
  <sheetData>
    <row r="1">
      <c r="A1" s="52" t="inlineStr">
        <is>
          <t>Channel</t>
        </is>
      </c>
      <c r="B1" s="49" t="inlineStr">
        <is>
          <t>DMX.Lo</t>
        </is>
      </c>
      <c r="C1" s="51" t="inlineStr">
        <is>
          <t>Circuit</t>
        </is>
      </c>
      <c r="D1" s="50" t="inlineStr">
        <is>
          <t>Location</t>
        </is>
      </c>
      <c r="E1" s="50" t="inlineStr">
        <is>
          <t>Type</t>
        </is>
      </c>
      <c r="F1" s="49" t="inlineStr">
        <is>
          <t>InsturmentCount</t>
        </is>
      </c>
      <c r="G1" s="49" t="inlineStr">
        <is>
          <t>Mode</t>
        </is>
      </c>
      <c r="H1" s="49" t="inlineStr">
        <is>
          <t>AssetTag</t>
        </is>
      </c>
      <c r="I1" s="50" t="inlineStr">
        <is>
          <t>Usage</t>
        </is>
      </c>
      <c r="J1" s="49" t="inlineStr">
        <is>
          <t>x</t>
        </is>
      </c>
      <c r="K1" s="49" t="inlineStr">
        <is>
          <t>y</t>
        </is>
      </c>
      <c r="L1" s="49" t="inlineStr">
        <is>
          <t>z</t>
        </is>
      </c>
      <c r="M1" s="49" t="inlineStr">
        <is>
          <t>nx</t>
        </is>
      </c>
      <c r="N1" s="49" t="inlineStr">
        <is>
          <t>ny</t>
        </is>
      </c>
    </row>
    <row r="2">
      <c r="A2" s="48" t="n">
        <v>1</v>
      </c>
      <c r="B2" s="46" t="n">
        <v>1</v>
      </c>
      <c r="C2" s="47" t="n"/>
      <c r="D2" s="45" t="inlineStr">
        <is>
          <t>FoH Centre</t>
        </is>
      </c>
      <c r="E2" s="45" t="inlineStr">
        <is>
          <t>4WRD</t>
        </is>
      </c>
      <c r="F2" s="46" t="n">
        <v>1</v>
      </c>
      <c r="G2" s="46" t="inlineStr">
        <is>
          <t>I</t>
        </is>
      </c>
      <c r="H2" s="46" t="n"/>
      <c r="I2" s="45" t="inlineStr">
        <is>
          <t>Thrust Face Wide</t>
        </is>
      </c>
      <c r="J2" s="44" t="n">
        <v>-11</v>
      </c>
      <c r="K2" s="44" t="n">
        <v>-25</v>
      </c>
      <c r="L2" s="44" t="n">
        <v>26</v>
      </c>
      <c r="M2" s="44" t="n">
        <v>0</v>
      </c>
      <c r="N2" s="44" t="n">
        <v>-2</v>
      </c>
    </row>
    <row r="3">
      <c r="A3" s="48" t="n">
        <v>2</v>
      </c>
      <c r="B3" s="46" t="n">
        <v>2</v>
      </c>
      <c r="C3" s="47" t="n"/>
      <c r="D3" s="45" t="inlineStr">
        <is>
          <t>FoH Centre</t>
        </is>
      </c>
      <c r="E3" s="45" t="inlineStr">
        <is>
          <t>4WRD</t>
        </is>
      </c>
      <c r="F3" s="46" t="n">
        <v>1</v>
      </c>
      <c r="G3" s="46" t="inlineStr">
        <is>
          <t>I</t>
        </is>
      </c>
      <c r="H3" s="46" t="n"/>
      <c r="I3" s="45" t="inlineStr">
        <is>
          <t>Vocal Face SR</t>
        </is>
      </c>
      <c r="J3" s="44" t="n">
        <v>-7</v>
      </c>
      <c r="K3" s="44" t="n">
        <v>-25</v>
      </c>
      <c r="L3" s="44" t="n">
        <v>26</v>
      </c>
      <c r="M3" s="44" t="n">
        <v>0</v>
      </c>
      <c r="N3" s="44" t="n">
        <v>-2</v>
      </c>
    </row>
    <row r="4">
      <c r="A4" s="48" t="n">
        <v>3</v>
      </c>
      <c r="B4" s="46" t="n">
        <v>3</v>
      </c>
      <c r="C4" s="47" t="n"/>
      <c r="D4" s="45" t="inlineStr">
        <is>
          <t>FoH Centre</t>
        </is>
      </c>
      <c r="E4" s="45" t="inlineStr">
        <is>
          <t>4WRD</t>
        </is>
      </c>
      <c r="F4" s="46" t="n">
        <v>1</v>
      </c>
      <c r="G4" s="46" t="inlineStr">
        <is>
          <t>I</t>
        </is>
      </c>
      <c r="H4" s="46" t="n"/>
      <c r="I4" s="45" t="inlineStr">
        <is>
          <t>Thrust Face Tight</t>
        </is>
      </c>
      <c r="J4" s="44" t="n">
        <v>-4</v>
      </c>
      <c r="K4" s="44" t="n">
        <v>-25</v>
      </c>
      <c r="L4" s="44" t="n">
        <v>26</v>
      </c>
      <c r="M4" s="44" t="n">
        <v>0</v>
      </c>
      <c r="N4" s="44" t="n">
        <v>-2</v>
      </c>
    </row>
    <row r="5">
      <c r="A5" s="32" t="n">
        <v>4</v>
      </c>
      <c r="B5" s="30" t="n">
        <v>4</v>
      </c>
      <c r="C5" s="31" t="n"/>
      <c r="D5" s="29" t="inlineStr">
        <is>
          <t>FoH Centre</t>
        </is>
      </c>
      <c r="E5" s="29" t="inlineStr">
        <is>
          <t>CS Spot</t>
        </is>
      </c>
      <c r="F5" s="30" t="n">
        <v>1</v>
      </c>
      <c r="G5" s="30" t="inlineStr">
        <is>
          <t>IRGBS</t>
        </is>
      </c>
      <c r="H5" s="30" t="n"/>
      <c r="I5" s="29" t="inlineStr">
        <is>
          <t>Thrust Colour Centre</t>
        </is>
      </c>
      <c r="J5" s="28" t="n">
        <v>0</v>
      </c>
      <c r="K5" s="28" t="n">
        <v>-25</v>
      </c>
      <c r="L5" s="28" t="n">
        <v>26</v>
      </c>
      <c r="M5" s="28" t="n">
        <v>0</v>
      </c>
      <c r="N5" s="28" t="n">
        <v>-2</v>
      </c>
    </row>
    <row r="6">
      <c r="A6" s="48" t="n">
        <v>5</v>
      </c>
      <c r="B6" s="46" t="n">
        <v>9</v>
      </c>
      <c r="C6" s="47" t="n"/>
      <c r="D6" s="45" t="inlineStr">
        <is>
          <t>FoH Centre</t>
        </is>
      </c>
      <c r="E6" s="45" t="inlineStr">
        <is>
          <t>4WRD</t>
        </is>
      </c>
      <c r="F6" s="46" t="n">
        <v>1</v>
      </c>
      <c r="G6" s="46" t="inlineStr">
        <is>
          <t>I</t>
        </is>
      </c>
      <c r="H6" s="46" t="n"/>
      <c r="I6" s="45" t="inlineStr">
        <is>
          <t>Thrust Face Tight</t>
        </is>
      </c>
      <c r="J6" s="44">
        <f>J4*-1</f>
        <v/>
      </c>
      <c r="K6" s="44" t="n">
        <v>-25</v>
      </c>
      <c r="L6" s="44" t="n">
        <v>26</v>
      </c>
      <c r="M6" s="44" t="n">
        <v>0</v>
      </c>
      <c r="N6" s="44" t="n">
        <v>-2</v>
      </c>
    </row>
    <row r="7">
      <c r="A7" s="48" t="n">
        <v>6</v>
      </c>
      <c r="B7" s="46" t="n">
        <v>10</v>
      </c>
      <c r="C7" s="47" t="n"/>
      <c r="D7" s="45" t="inlineStr">
        <is>
          <t>FoH Centre</t>
        </is>
      </c>
      <c r="E7" s="45" t="inlineStr">
        <is>
          <t>4WRD</t>
        </is>
      </c>
      <c r="F7" s="46" t="n">
        <v>1</v>
      </c>
      <c r="G7" s="46" t="inlineStr">
        <is>
          <t>I</t>
        </is>
      </c>
      <c r="H7" s="46" t="n"/>
      <c r="I7" s="45" t="inlineStr">
        <is>
          <t>Vocal Face SL</t>
        </is>
      </c>
      <c r="J7" s="44">
        <f>J3*-1</f>
        <v/>
      </c>
      <c r="K7" s="44">
        <f>-25</f>
        <v/>
      </c>
      <c r="L7" s="44" t="n">
        <v>26</v>
      </c>
      <c r="M7" s="44" t="n">
        <v>0</v>
      </c>
      <c r="N7" s="44" t="n">
        <v>-2</v>
      </c>
    </row>
    <row r="8">
      <c r="A8" s="48" t="n">
        <v>7</v>
      </c>
      <c r="B8" s="46" t="n">
        <v>11</v>
      </c>
      <c r="C8" s="47" t="n"/>
      <c r="D8" s="45" t="inlineStr">
        <is>
          <t>FoH Centre</t>
        </is>
      </c>
      <c r="E8" s="45" t="inlineStr">
        <is>
          <t>4WRD</t>
        </is>
      </c>
      <c r="F8" s="46" t="n">
        <v>1</v>
      </c>
      <c r="G8" s="46" t="inlineStr">
        <is>
          <t>I</t>
        </is>
      </c>
      <c r="H8" s="46" t="n"/>
      <c r="I8" s="45" t="inlineStr">
        <is>
          <t>Thrust Face Wide</t>
        </is>
      </c>
      <c r="J8" s="44">
        <f>J2*-1</f>
        <v/>
      </c>
      <c r="K8" s="44" t="n">
        <v>-25</v>
      </c>
      <c r="L8" s="44" t="n">
        <v>26</v>
      </c>
      <c r="M8" s="44" t="n">
        <v>0</v>
      </c>
      <c r="N8" s="44" t="n">
        <v>-2</v>
      </c>
    </row>
    <row r="9">
      <c r="A9" s="43" t="n">
        <v>8</v>
      </c>
      <c r="B9" s="41" t="n">
        <v>12</v>
      </c>
      <c r="C9" s="42" t="n"/>
      <c r="D9" s="40" t="inlineStr">
        <is>
          <t>FoH East</t>
        </is>
      </c>
      <c r="E9" s="40" t="inlineStr">
        <is>
          <t>CS Par</t>
        </is>
      </c>
      <c r="F9" s="41" t="n">
        <v>1</v>
      </c>
      <c r="G9" s="41" t="inlineStr">
        <is>
          <t>IRGBS</t>
        </is>
      </c>
      <c r="H9" s="41" t="n"/>
      <c r="I9" s="40" t="inlineStr">
        <is>
          <t>SR Far - Band</t>
        </is>
      </c>
      <c r="J9" s="39" t="n">
        <v>-21</v>
      </c>
      <c r="K9" s="39" t="n">
        <v>-20</v>
      </c>
      <c r="L9" s="39" t="n">
        <v>26</v>
      </c>
      <c r="M9" s="39" t="n">
        <v>0</v>
      </c>
      <c r="N9" s="39" t="n">
        <v>-2</v>
      </c>
    </row>
    <row r="10">
      <c r="A10" s="43" t="n">
        <v>9</v>
      </c>
      <c r="B10" s="41" t="n">
        <v>17</v>
      </c>
      <c r="C10" s="42" t="n"/>
      <c r="D10" s="40" t="inlineStr">
        <is>
          <t>FoH East</t>
        </is>
      </c>
      <c r="E10" s="40" t="inlineStr">
        <is>
          <t>CS Par</t>
        </is>
      </c>
      <c r="F10" s="41" t="n">
        <v>1</v>
      </c>
      <c r="G10" s="41" t="inlineStr">
        <is>
          <t>IRGBS</t>
        </is>
      </c>
      <c r="H10" s="41" t="n"/>
      <c r="I10" s="40" t="inlineStr">
        <is>
          <t>C SR</t>
        </is>
      </c>
      <c r="J10" s="39" t="n">
        <v>-18</v>
      </c>
      <c r="K10" s="39" t="n">
        <v>-20</v>
      </c>
      <c r="L10" s="39" t="n">
        <v>26</v>
      </c>
      <c r="M10" s="39" t="n">
        <v>0</v>
      </c>
      <c r="N10" s="39" t="n">
        <v>2</v>
      </c>
    </row>
    <row r="11">
      <c r="A11" s="32" t="n">
        <v>10</v>
      </c>
      <c r="B11" s="30" t="n">
        <v>22</v>
      </c>
      <c r="C11" s="31" t="n"/>
      <c r="D11" s="29" t="inlineStr">
        <is>
          <t>FoH East</t>
        </is>
      </c>
      <c r="E11" s="29" t="inlineStr">
        <is>
          <t>CS Spot</t>
        </is>
      </c>
      <c r="F11" s="30" t="n"/>
      <c r="G11" s="30" t="inlineStr">
        <is>
          <t>IRGBS</t>
        </is>
      </c>
      <c r="H11" s="30" t="n"/>
      <c r="I11" s="29" t="inlineStr">
        <is>
          <t>Band</t>
        </is>
      </c>
      <c r="J11" s="28" t="n">
        <v>-15</v>
      </c>
      <c r="K11" s="28" t="n">
        <v>-20</v>
      </c>
      <c r="L11" s="28" t="n">
        <v>26</v>
      </c>
      <c r="M11" s="28" t="n">
        <v>0</v>
      </c>
      <c r="N11" s="28" t="n">
        <v>-2</v>
      </c>
    </row>
    <row r="12">
      <c r="A12" s="32" t="n">
        <v>11</v>
      </c>
      <c r="B12" s="30" t="n">
        <v>27</v>
      </c>
      <c r="C12" s="31" t="n"/>
      <c r="D12" s="29" t="inlineStr">
        <is>
          <t>FoH East</t>
        </is>
      </c>
      <c r="E12" s="29" t="inlineStr">
        <is>
          <t>CS Spot</t>
        </is>
      </c>
      <c r="F12" s="30" t="n">
        <v>1</v>
      </c>
      <c r="G12" s="30" t="inlineStr">
        <is>
          <t>IRGBS</t>
        </is>
      </c>
      <c r="H12" s="30" t="n"/>
      <c r="I12" s="29" t="inlineStr">
        <is>
          <t>SR Mid</t>
        </is>
      </c>
      <c r="J12" s="28" t="n">
        <v>-12</v>
      </c>
      <c r="K12" s="28" t="n">
        <v>-20</v>
      </c>
      <c r="L12" s="28" t="n">
        <v>26</v>
      </c>
      <c r="M12" s="28" t="n">
        <v>0</v>
      </c>
      <c r="N12" s="28" t="n">
        <v>2</v>
      </c>
    </row>
    <row r="13">
      <c r="A13" s="32" t="n">
        <v>12</v>
      </c>
      <c r="B13" s="30" t="n">
        <v>32</v>
      </c>
      <c r="C13" s="31" t="n"/>
      <c r="D13" s="29" t="inlineStr">
        <is>
          <t>FoH East</t>
        </is>
      </c>
      <c r="E13" s="29" t="inlineStr">
        <is>
          <t>CS Spot</t>
        </is>
      </c>
      <c r="F13" s="30" t="n">
        <v>1</v>
      </c>
      <c r="G13" s="30" t="inlineStr">
        <is>
          <t>IRGBS</t>
        </is>
      </c>
      <c r="H13" s="30" t="n"/>
      <c r="I13" s="29" t="inlineStr">
        <is>
          <t>SR Vocal</t>
        </is>
      </c>
      <c r="J13" s="28" t="n">
        <v>-9</v>
      </c>
      <c r="K13" s="28" t="n">
        <v>-20</v>
      </c>
      <c r="L13" s="28" t="n">
        <v>26</v>
      </c>
      <c r="M13" s="28" t="n">
        <v>0</v>
      </c>
      <c r="N13" s="28" t="n">
        <v>-2</v>
      </c>
    </row>
    <row r="14">
      <c r="A14" s="32" t="n">
        <v>13</v>
      </c>
      <c r="B14" s="30" t="n">
        <v>37</v>
      </c>
      <c r="C14" s="31" t="n"/>
      <c r="D14" s="29" t="inlineStr">
        <is>
          <t>FoH West</t>
        </is>
      </c>
      <c r="E14" s="29" t="inlineStr">
        <is>
          <t>CS Spot</t>
        </is>
      </c>
      <c r="F14" s="30" t="n">
        <v>1</v>
      </c>
      <c r="G14" s="30" t="inlineStr">
        <is>
          <t>IRGBS</t>
        </is>
      </c>
      <c r="H14" s="30" t="n"/>
      <c r="I14" s="29" t="inlineStr">
        <is>
          <t>SL Bleacher</t>
        </is>
      </c>
      <c r="J14" s="28">
        <f>J13*-1</f>
        <v/>
      </c>
      <c r="K14" s="28" t="n">
        <v>-20</v>
      </c>
      <c r="L14" s="28" t="n">
        <v>26</v>
      </c>
      <c r="M14" s="28" t="n">
        <v>0</v>
      </c>
      <c r="N14" s="28" t="n">
        <v>-2</v>
      </c>
    </row>
    <row r="15">
      <c r="A15" s="32" t="n">
        <v>14</v>
      </c>
      <c r="B15" s="30" t="n">
        <v>42</v>
      </c>
      <c r="C15" s="31" t="n"/>
      <c r="D15" s="29" t="inlineStr">
        <is>
          <t>FoH West</t>
        </is>
      </c>
      <c r="E15" s="29" t="inlineStr">
        <is>
          <t>CS Spot</t>
        </is>
      </c>
      <c r="F15" s="30" t="n">
        <v>1</v>
      </c>
      <c r="G15" s="30" t="inlineStr">
        <is>
          <t>IRGBS</t>
        </is>
      </c>
      <c r="H15" s="30" t="n"/>
      <c r="I15" s="29" t="inlineStr">
        <is>
          <t>SL Vocal</t>
        </is>
      </c>
      <c r="J15" s="28">
        <f>J12*-1</f>
        <v/>
      </c>
      <c r="K15" s="28" t="n">
        <v>-20</v>
      </c>
      <c r="L15" s="28" t="n">
        <v>26</v>
      </c>
      <c r="M15" s="28" t="n">
        <v>0</v>
      </c>
      <c r="N15" s="28" t="n">
        <v>2</v>
      </c>
    </row>
    <row r="16">
      <c r="A16" s="32" t="n">
        <v>15</v>
      </c>
      <c r="B16" s="30" t="n">
        <v>47</v>
      </c>
      <c r="C16" s="31" t="n"/>
      <c r="D16" s="29" t="inlineStr">
        <is>
          <t>FoH West</t>
        </is>
      </c>
      <c r="E16" s="29" t="inlineStr">
        <is>
          <t>CS Spot</t>
        </is>
      </c>
      <c r="F16" s="30" t="n">
        <v>1</v>
      </c>
      <c r="G16" s="30" t="inlineStr">
        <is>
          <t>IRGBS</t>
        </is>
      </c>
      <c r="H16" s="30" t="n"/>
      <c r="I16" s="29" t="inlineStr">
        <is>
          <t>SL Far</t>
        </is>
      </c>
      <c r="J16" s="28">
        <f>J11*-1</f>
        <v/>
      </c>
      <c r="K16" s="28" t="n">
        <v>-20</v>
      </c>
      <c r="L16" s="28" t="n">
        <v>26</v>
      </c>
      <c r="M16" s="28" t="n">
        <v>0</v>
      </c>
      <c r="N16" s="28" t="n">
        <v>-2</v>
      </c>
    </row>
    <row r="17">
      <c r="A17" s="43" t="n">
        <v>16</v>
      </c>
      <c r="B17" s="41" t="n">
        <v>52</v>
      </c>
      <c r="C17" s="42" t="n"/>
      <c r="D17" s="40" t="inlineStr">
        <is>
          <t>FoH West</t>
        </is>
      </c>
      <c r="E17" s="40" t="inlineStr">
        <is>
          <t>CS Par</t>
        </is>
      </c>
      <c r="F17" s="41" t="n">
        <v>1</v>
      </c>
      <c r="G17" s="41" t="inlineStr">
        <is>
          <t>IRGBS</t>
        </is>
      </c>
      <c r="H17" s="41" t="n"/>
      <c r="I17" s="40" t="inlineStr">
        <is>
          <t>C SL</t>
        </is>
      </c>
      <c r="J17" s="39">
        <f>J10*-1</f>
        <v/>
      </c>
      <c r="K17" s="39" t="n">
        <v>-20</v>
      </c>
      <c r="L17" s="39" t="n">
        <v>26</v>
      </c>
      <c r="M17" s="39" t="n">
        <v>0</v>
      </c>
      <c r="N17" s="39" t="n">
        <v>2</v>
      </c>
    </row>
    <row r="18">
      <c r="A18" s="43" t="n">
        <v>17</v>
      </c>
      <c r="B18" s="41" t="n">
        <v>57</v>
      </c>
      <c r="C18" s="42" t="n"/>
      <c r="D18" s="40" t="inlineStr">
        <is>
          <t>FoH West</t>
        </is>
      </c>
      <c r="E18" s="40" t="inlineStr">
        <is>
          <t>CS Par</t>
        </is>
      </c>
      <c r="F18" s="41" t="n">
        <v>1</v>
      </c>
      <c r="G18" s="41" t="inlineStr">
        <is>
          <t>IRGBS</t>
        </is>
      </c>
      <c r="H18" s="41" t="n"/>
      <c r="I18" s="40" t="inlineStr">
        <is>
          <t>SL Far</t>
        </is>
      </c>
      <c r="J18" s="39">
        <f>J9*-1</f>
        <v/>
      </c>
      <c r="K18" s="39" t="n">
        <v>-20</v>
      </c>
      <c r="L18" s="39" t="n">
        <v>26</v>
      </c>
      <c r="M18" s="39" t="n">
        <v>0</v>
      </c>
      <c r="N18" s="39" t="n">
        <v>-2</v>
      </c>
    </row>
    <row r="19">
      <c r="A19" s="27" t="n">
        <v>18</v>
      </c>
      <c r="B19" s="25" t="n">
        <v>141</v>
      </c>
      <c r="C19" s="26" t="n"/>
      <c r="D19" s="24" t="inlineStr">
        <is>
          <t>Speaker</t>
        </is>
      </c>
      <c r="E19" s="24" t="inlineStr">
        <is>
          <t>CS Par</t>
        </is>
      </c>
      <c r="F19" s="25" t="n"/>
      <c r="G19" s="38" t="inlineStr">
        <is>
          <t>IRGBS</t>
        </is>
      </c>
      <c r="H19" s="38" t="n"/>
      <c r="I19" s="24" t="inlineStr">
        <is>
          <t>Thrust Wash</t>
        </is>
      </c>
      <c r="J19" s="22" t="n">
        <v>-9</v>
      </c>
      <c r="K19" s="22" t="n">
        <v>-6</v>
      </c>
      <c r="L19" s="22" t="n">
        <v>24</v>
      </c>
      <c r="M19" s="22" t="n">
        <v>0</v>
      </c>
      <c r="N19" s="22" t="n">
        <v>-2</v>
      </c>
    </row>
    <row r="20">
      <c r="A20" s="27" t="n">
        <v>19</v>
      </c>
      <c r="B20" s="25" t="n">
        <v>136</v>
      </c>
      <c r="C20" s="26" t="n"/>
      <c r="D20" s="24" t="inlineStr">
        <is>
          <t>Speaker</t>
        </is>
      </c>
      <c r="E20" s="24" t="inlineStr">
        <is>
          <t>CS Par</t>
        </is>
      </c>
      <c r="F20" s="25" t="n"/>
      <c r="G20" s="38" t="inlineStr">
        <is>
          <t>IRGBS</t>
        </is>
      </c>
      <c r="H20" s="38" t="n"/>
      <c r="I20" s="24" t="inlineStr">
        <is>
          <t>Thrust Wash</t>
        </is>
      </c>
      <c r="J20" s="22" t="n">
        <v>9</v>
      </c>
      <c r="K20" s="22" t="n">
        <v>-6</v>
      </c>
      <c r="L20" s="22" t="n">
        <v>24</v>
      </c>
      <c r="M20" s="22" t="n">
        <v>0</v>
      </c>
      <c r="N20" s="22" t="n">
        <v>-2</v>
      </c>
    </row>
    <row r="21">
      <c r="A21" s="37" t="n">
        <v>20</v>
      </c>
      <c r="B21" s="35" t="n">
        <v>131</v>
      </c>
      <c r="C21" s="36" t="n"/>
      <c r="D21" s="34" t="inlineStr">
        <is>
          <t>Top Bar</t>
        </is>
      </c>
      <c r="E21" s="34" t="inlineStr">
        <is>
          <t>CS Par</t>
        </is>
      </c>
      <c r="F21" s="35" t="n"/>
      <c r="G21" s="35" t="inlineStr">
        <is>
          <t>IRGBS</t>
        </is>
      </c>
      <c r="H21" s="35" t="n"/>
      <c r="I21" s="34" t="inlineStr">
        <is>
          <t>SR</t>
        </is>
      </c>
      <c r="J21" s="33" t="n">
        <v>-14</v>
      </c>
      <c r="K21" s="33" t="n">
        <v>10</v>
      </c>
      <c r="L21" s="33" t="n">
        <v>18</v>
      </c>
      <c r="M21" s="33" t="n">
        <v>0</v>
      </c>
      <c r="N21" s="33" t="n">
        <v>-2</v>
      </c>
    </row>
    <row r="22">
      <c r="A22" s="37" t="n">
        <v>21</v>
      </c>
      <c r="B22" s="35" t="n">
        <v>126</v>
      </c>
      <c r="C22" s="36" t="n"/>
      <c r="D22" s="34" t="inlineStr">
        <is>
          <t>Top Bar</t>
        </is>
      </c>
      <c r="E22" s="34" t="inlineStr">
        <is>
          <t>CS Par</t>
        </is>
      </c>
      <c r="F22" s="35" t="n"/>
      <c r="G22" s="35" t="inlineStr">
        <is>
          <t>IRGBS</t>
        </is>
      </c>
      <c r="H22" s="35" t="n"/>
      <c r="I22" s="34" t="inlineStr">
        <is>
          <t>SR</t>
        </is>
      </c>
      <c r="J22" s="33" t="n">
        <v>-9</v>
      </c>
      <c r="K22" s="33" t="n">
        <v>10</v>
      </c>
      <c r="L22" s="33" t="n">
        <v>18</v>
      </c>
      <c r="M22" s="33" t="n">
        <v>0</v>
      </c>
      <c r="N22" s="33" t="n">
        <v>2</v>
      </c>
    </row>
    <row r="23">
      <c r="A23" s="37" t="n">
        <v>22</v>
      </c>
      <c r="B23" s="35" t="n">
        <v>121</v>
      </c>
      <c r="C23" s="36" t="n"/>
      <c r="D23" s="34" t="inlineStr">
        <is>
          <t>Top Bar</t>
        </is>
      </c>
      <c r="E23" s="34" t="inlineStr">
        <is>
          <t>CS Par</t>
        </is>
      </c>
      <c r="F23" s="35" t="n"/>
      <c r="G23" s="35" t="inlineStr">
        <is>
          <t>IRGBS</t>
        </is>
      </c>
      <c r="H23" s="35" t="n"/>
      <c r="I23" s="34" t="inlineStr">
        <is>
          <t>SR</t>
        </is>
      </c>
      <c r="J23" s="33" t="n">
        <v>-5</v>
      </c>
      <c r="K23" s="33" t="n">
        <v>10</v>
      </c>
      <c r="L23" s="33" t="n">
        <v>18</v>
      </c>
      <c r="M23" s="33" t="n">
        <v>0</v>
      </c>
      <c r="N23" s="33" t="n">
        <v>-2</v>
      </c>
    </row>
    <row r="24">
      <c r="A24" s="37" t="n">
        <v>23</v>
      </c>
      <c r="B24" s="35" t="n">
        <v>116</v>
      </c>
      <c r="C24" s="36" t="n"/>
      <c r="D24" s="34" t="inlineStr">
        <is>
          <t>Top Bar</t>
        </is>
      </c>
      <c r="E24" s="34" t="inlineStr">
        <is>
          <t>CS Par</t>
        </is>
      </c>
      <c r="F24" s="35" t="n">
        <v>1</v>
      </c>
      <c r="G24" s="35" t="inlineStr">
        <is>
          <t>IRGBS</t>
        </is>
      </c>
      <c r="H24" s="35" t="n"/>
      <c r="I24" s="34" t="inlineStr">
        <is>
          <t>Thrust Back Wash</t>
        </is>
      </c>
      <c r="J24" s="33" t="n">
        <v>0</v>
      </c>
      <c r="K24" s="33" t="n">
        <v>10</v>
      </c>
      <c r="L24" s="33" t="n">
        <v>18</v>
      </c>
      <c r="M24" s="33" t="n">
        <v>0</v>
      </c>
      <c r="N24" s="33" t="n">
        <v>-2</v>
      </c>
    </row>
    <row r="25">
      <c r="A25" s="37" t="n">
        <v>24</v>
      </c>
      <c r="B25" s="35" t="n">
        <v>111</v>
      </c>
      <c r="C25" s="36" t="n"/>
      <c r="D25" s="34" t="inlineStr">
        <is>
          <t>Top Bar</t>
        </is>
      </c>
      <c r="E25" s="34" t="inlineStr">
        <is>
          <t>CS Par</t>
        </is>
      </c>
      <c r="F25" s="35" t="n">
        <v>1</v>
      </c>
      <c r="G25" s="35" t="inlineStr">
        <is>
          <t>IRGBS</t>
        </is>
      </c>
      <c r="H25" s="35" t="n"/>
      <c r="I25" s="34" t="inlineStr">
        <is>
          <t>SL</t>
        </is>
      </c>
      <c r="J25" s="33" t="n">
        <v>5</v>
      </c>
      <c r="K25" s="33" t="n">
        <v>10</v>
      </c>
      <c r="L25" s="33" t="n">
        <v>18</v>
      </c>
      <c r="M25" s="33" t="n">
        <v>0</v>
      </c>
      <c r="N25" s="33" t="n">
        <v>-2</v>
      </c>
    </row>
    <row r="26">
      <c r="A26" s="37" t="n">
        <v>25</v>
      </c>
      <c r="B26" s="35" t="n">
        <v>196</v>
      </c>
      <c r="C26" s="36" t="n"/>
      <c r="D26" s="34" t="inlineStr">
        <is>
          <t>Top Bar</t>
        </is>
      </c>
      <c r="E26" s="34" t="inlineStr">
        <is>
          <t>CS Par</t>
        </is>
      </c>
      <c r="F26" s="35" t="n">
        <v>1</v>
      </c>
      <c r="G26" s="35" t="inlineStr">
        <is>
          <t>IRGBS</t>
        </is>
      </c>
      <c r="H26" s="35" t="n"/>
      <c r="I26" s="34" t="inlineStr">
        <is>
          <t>SL</t>
        </is>
      </c>
      <c r="J26" s="33" t="n">
        <v>9</v>
      </c>
      <c r="K26" s="33" t="n">
        <v>10</v>
      </c>
      <c r="L26" s="33" t="n">
        <v>18</v>
      </c>
      <c r="M26" s="33" t="n">
        <v>0</v>
      </c>
      <c r="N26" s="33" t="n">
        <v>2</v>
      </c>
    </row>
    <row r="27">
      <c r="A27" s="37" t="n">
        <v>26</v>
      </c>
      <c r="B27" s="35" t="n">
        <v>101</v>
      </c>
      <c r="C27" s="36" t="n"/>
      <c r="D27" s="34" t="inlineStr">
        <is>
          <t>Top Bar</t>
        </is>
      </c>
      <c r="E27" s="34" t="inlineStr">
        <is>
          <t>CS Par</t>
        </is>
      </c>
      <c r="F27" s="35" t="n">
        <v>1</v>
      </c>
      <c r="G27" s="35" t="inlineStr">
        <is>
          <t>IRGBS</t>
        </is>
      </c>
      <c r="H27" s="35" t="n"/>
      <c r="I27" s="34" t="inlineStr">
        <is>
          <t>SL</t>
        </is>
      </c>
      <c r="J27" s="33" t="n">
        <v>14</v>
      </c>
      <c r="K27" s="33" t="n">
        <v>10</v>
      </c>
      <c r="L27" s="33" t="n">
        <v>18</v>
      </c>
      <c r="M27" s="33" t="n">
        <v>0</v>
      </c>
      <c r="N27" s="33" t="n">
        <v>-2</v>
      </c>
    </row>
    <row r="28">
      <c r="A28" s="15" t="n">
        <v>27</v>
      </c>
      <c r="B28" s="13" t="n">
        <v>151</v>
      </c>
      <c r="C28" s="14" t="n"/>
      <c r="D28" s="12" t="inlineStr">
        <is>
          <t>Stage Pots</t>
        </is>
      </c>
      <c r="E28" s="12" t="inlineStr">
        <is>
          <t>Ketra</t>
        </is>
      </c>
      <c r="F28" s="13" t="n">
        <v>8</v>
      </c>
      <c r="G28" s="13" t="inlineStr">
        <is>
          <t>RGB</t>
        </is>
      </c>
      <c r="H28" s="13" t="n"/>
      <c r="I28" s="12" t="inlineStr">
        <is>
          <t>Down Stage</t>
        </is>
      </c>
      <c r="J28" s="11" t="n"/>
      <c r="K28" s="11" t="n"/>
      <c r="L28" s="11" t="n"/>
      <c r="M28" s="10" t="n"/>
      <c r="N28" s="10" t="n"/>
    </row>
    <row r="29">
      <c r="A29" s="15" t="n">
        <v>28</v>
      </c>
      <c r="B29" s="13" t="n">
        <v>154</v>
      </c>
      <c r="C29" s="14" t="n"/>
      <c r="D29" s="12" t="inlineStr">
        <is>
          <t>Stage Pots</t>
        </is>
      </c>
      <c r="E29" s="12" t="inlineStr">
        <is>
          <t>Ketra</t>
        </is>
      </c>
      <c r="F29" s="13" t="n">
        <v>8</v>
      </c>
      <c r="G29" s="13" t="inlineStr">
        <is>
          <t>RGB</t>
        </is>
      </c>
      <c r="H29" s="13" t="n"/>
      <c r="I29" s="12" t="inlineStr">
        <is>
          <t>Centre</t>
        </is>
      </c>
      <c r="J29" s="11" t="n"/>
      <c r="K29" s="11" t="n"/>
      <c r="L29" s="11" t="n"/>
      <c r="M29" s="10" t="n"/>
      <c r="N29" s="10" t="n"/>
    </row>
    <row r="30">
      <c r="A30" s="15" t="n">
        <v>29</v>
      </c>
      <c r="B30" s="13" t="n">
        <v>157</v>
      </c>
      <c r="C30" s="14" t="n"/>
      <c r="D30" s="12" t="inlineStr">
        <is>
          <t>Stage Pots</t>
        </is>
      </c>
      <c r="E30" s="12" t="inlineStr">
        <is>
          <t>Ketra</t>
        </is>
      </c>
      <c r="F30" s="13" t="n">
        <v>10</v>
      </c>
      <c r="G30" s="13" t="inlineStr">
        <is>
          <t>RGB</t>
        </is>
      </c>
      <c r="H30" s="13" t="n"/>
      <c r="I30" s="12" t="inlineStr">
        <is>
          <t>Wall</t>
        </is>
      </c>
      <c r="J30" s="11" t="n"/>
      <c r="K30" s="11" t="n"/>
      <c r="L30" s="11" t="n"/>
      <c r="M30" s="10" t="n"/>
      <c r="N30" s="10" t="n"/>
    </row>
    <row r="31">
      <c r="A31" s="15" t="n">
        <v>30</v>
      </c>
      <c r="B31" s="13" t="n">
        <v>160</v>
      </c>
      <c r="C31" s="14" t="n"/>
      <c r="D31" s="12" t="inlineStr">
        <is>
          <t>Stage Pots</t>
        </is>
      </c>
      <c r="E31" s="12" t="inlineStr">
        <is>
          <t>Ketra</t>
        </is>
      </c>
      <c r="F31" s="13" t="n">
        <v>4</v>
      </c>
      <c r="G31" s="13" t="inlineStr">
        <is>
          <t>RGB</t>
        </is>
      </c>
      <c r="H31" s="13" t="n"/>
      <c r="I31" s="12" t="inlineStr">
        <is>
          <t>Up Stage</t>
        </is>
      </c>
      <c r="J31" s="11" t="n"/>
      <c r="K31" s="11" t="n"/>
      <c r="L31" s="11" t="n"/>
      <c r="M31" s="10" t="n"/>
      <c r="N31" s="10" t="n"/>
    </row>
    <row r="32">
      <c r="A32" s="15" t="n">
        <v>31</v>
      </c>
      <c r="B32" s="13" t="n">
        <v>163</v>
      </c>
      <c r="C32" s="14" t="n"/>
      <c r="D32" s="12" t="inlineStr">
        <is>
          <t>Sconce</t>
        </is>
      </c>
      <c r="E32" s="12" t="inlineStr">
        <is>
          <t>Ketra</t>
        </is>
      </c>
      <c r="F32" s="13" t="n">
        <v>12</v>
      </c>
      <c r="G32" s="13" t="inlineStr">
        <is>
          <t>RGB</t>
        </is>
      </c>
      <c r="H32" s="13" t="n"/>
      <c r="I32" s="12" t="inlineStr">
        <is>
          <t>Wall Sconces</t>
        </is>
      </c>
      <c r="J32" s="11" t="n"/>
      <c r="K32" s="11" t="n"/>
      <c r="L32" s="11" t="n"/>
      <c r="M32" s="10" t="n"/>
      <c r="N32" s="10" t="n"/>
    </row>
    <row r="33">
      <c r="A33" s="15" t="n">
        <v>32</v>
      </c>
      <c r="B33" s="13" t="n">
        <v>166</v>
      </c>
      <c r="C33" s="14" t="n"/>
      <c r="D33" s="12" t="inlineStr">
        <is>
          <t>Pendants</t>
        </is>
      </c>
      <c r="E33" s="12" t="inlineStr">
        <is>
          <t>Ketra</t>
        </is>
      </c>
      <c r="F33" s="13" t="n">
        <v>2</v>
      </c>
      <c r="G33" s="13" t="inlineStr">
        <is>
          <t>RGB</t>
        </is>
      </c>
      <c r="H33" s="13" t="n"/>
      <c r="I33" s="12" t="inlineStr">
        <is>
          <t>Balcony Booth</t>
        </is>
      </c>
      <c r="J33" s="11" t="n"/>
      <c r="K33" s="11" t="n"/>
      <c r="L33" s="11" t="n"/>
      <c r="M33" s="10" t="n"/>
      <c r="N33" s="10" t="n"/>
    </row>
    <row r="34">
      <c r="A34" s="27" t="n">
        <v>34</v>
      </c>
      <c r="B34" s="25" t="n">
        <v>172</v>
      </c>
      <c r="C34" s="26" t="n"/>
      <c r="D34" s="24" t="inlineStr">
        <is>
          <t>Floor</t>
        </is>
      </c>
      <c r="E34" s="24" t="inlineStr">
        <is>
          <t>CS Par</t>
        </is>
      </c>
      <c r="F34" s="25" t="n"/>
      <c r="G34" s="25" t="inlineStr">
        <is>
          <t>IRGBS</t>
        </is>
      </c>
      <c r="H34" s="25" t="n"/>
      <c r="I34" s="24" t="inlineStr">
        <is>
          <t>Flares</t>
        </is>
      </c>
      <c r="J34" s="16" t="n">
        <v>-14</v>
      </c>
      <c r="K34" s="16" t="n">
        <v>22</v>
      </c>
      <c r="L34" s="16" t="n">
        <v>8</v>
      </c>
      <c r="M34" s="16" t="n">
        <v>0</v>
      </c>
      <c r="N34" s="16" t="n">
        <v>-2</v>
      </c>
    </row>
    <row r="35">
      <c r="A35" s="27" t="n">
        <v>35</v>
      </c>
      <c r="B35" s="25" t="n">
        <v>177</v>
      </c>
      <c r="C35" s="26" t="n"/>
      <c r="D35" s="24" t="inlineStr">
        <is>
          <t>Floor</t>
        </is>
      </c>
      <c r="E35" s="24" t="inlineStr">
        <is>
          <t>CS Par</t>
        </is>
      </c>
      <c r="F35" s="25" t="n"/>
      <c r="G35" s="25" t="inlineStr">
        <is>
          <t>IRGBS</t>
        </is>
      </c>
      <c r="H35" s="25" t="n"/>
      <c r="I35" s="24" t="inlineStr">
        <is>
          <t>Flares</t>
        </is>
      </c>
      <c r="J35" s="16" t="n">
        <v>-10</v>
      </c>
      <c r="K35" s="16" t="n">
        <v>24</v>
      </c>
      <c r="L35" s="16" t="n">
        <v>8</v>
      </c>
      <c r="M35" s="16" t="n">
        <v>0</v>
      </c>
      <c r="N35" s="16" t="n">
        <v>-2</v>
      </c>
    </row>
    <row r="36">
      <c r="A36" s="27" t="n">
        <v>36</v>
      </c>
      <c r="B36" s="25" t="n">
        <v>182</v>
      </c>
      <c r="C36" s="26" t="n"/>
      <c r="D36" s="24" t="inlineStr">
        <is>
          <t>Floor</t>
        </is>
      </c>
      <c r="E36" s="24" t="inlineStr">
        <is>
          <t>CS Par</t>
        </is>
      </c>
      <c r="F36" s="25" t="n"/>
      <c r="G36" s="25" t="inlineStr">
        <is>
          <t>IRGBS</t>
        </is>
      </c>
      <c r="H36" s="25" t="n"/>
      <c r="I36" s="24" t="inlineStr">
        <is>
          <t>Flares</t>
        </is>
      </c>
      <c r="J36" s="16" t="n">
        <v>-6</v>
      </c>
      <c r="K36" s="16" t="n">
        <v>26</v>
      </c>
      <c r="L36" s="16" t="n">
        <v>8</v>
      </c>
      <c r="M36" s="16" t="n">
        <v>0</v>
      </c>
      <c r="N36" s="16" t="n">
        <v>-2</v>
      </c>
    </row>
    <row r="37">
      <c r="A37" s="27" t="n">
        <v>37</v>
      </c>
      <c r="B37" s="25" t="n">
        <v>187</v>
      </c>
      <c r="C37" s="26" t="n"/>
      <c r="D37" s="24" t="inlineStr">
        <is>
          <t>Floor</t>
        </is>
      </c>
      <c r="E37" s="24" t="inlineStr">
        <is>
          <t>CS Par</t>
        </is>
      </c>
      <c r="F37" s="25" t="n"/>
      <c r="G37" s="25" t="inlineStr">
        <is>
          <t>IRGBS</t>
        </is>
      </c>
      <c r="H37" s="25" t="n"/>
      <c r="I37" s="24" t="inlineStr">
        <is>
          <t>Flares</t>
        </is>
      </c>
      <c r="J37" s="16" t="n">
        <v>6</v>
      </c>
      <c r="K37" s="16" t="n">
        <v>26</v>
      </c>
      <c r="L37" s="16" t="n">
        <v>8</v>
      </c>
      <c r="M37" s="16" t="n">
        <v>0</v>
      </c>
      <c r="N37" s="16" t="n">
        <v>-2</v>
      </c>
    </row>
    <row r="38">
      <c r="A38" s="27" t="n">
        <v>38</v>
      </c>
      <c r="B38" s="25" t="n">
        <v>192</v>
      </c>
      <c r="C38" s="26" t="n"/>
      <c r="D38" s="24" t="inlineStr">
        <is>
          <t>Floor</t>
        </is>
      </c>
      <c r="E38" s="24" t="inlineStr">
        <is>
          <t>CS Par</t>
        </is>
      </c>
      <c r="F38" s="25" t="n"/>
      <c r="G38" s="25" t="inlineStr">
        <is>
          <t>IRGBS</t>
        </is>
      </c>
      <c r="H38" s="25" t="n"/>
      <c r="I38" s="24" t="inlineStr">
        <is>
          <t>Flares</t>
        </is>
      </c>
      <c r="J38" s="16" t="n">
        <v>10</v>
      </c>
      <c r="K38" s="16" t="n">
        <v>24</v>
      </c>
      <c r="L38" s="16" t="n">
        <v>8</v>
      </c>
      <c r="M38" s="16" t="n">
        <v>0</v>
      </c>
      <c r="N38" s="16" t="n">
        <v>-2</v>
      </c>
    </row>
    <row r="39">
      <c r="A39" s="27" t="n">
        <v>39</v>
      </c>
      <c r="B39" s="25" t="n">
        <v>197</v>
      </c>
      <c r="C39" s="26" t="n"/>
      <c r="D39" s="24" t="inlineStr">
        <is>
          <t>Floor</t>
        </is>
      </c>
      <c r="E39" s="24" t="inlineStr">
        <is>
          <t>CS Par</t>
        </is>
      </c>
      <c r="F39" s="25" t="n"/>
      <c r="G39" s="25" t="inlineStr">
        <is>
          <t>IRGBS</t>
        </is>
      </c>
      <c r="H39" s="25" t="n"/>
      <c r="I39" s="24" t="inlineStr">
        <is>
          <t>Flares</t>
        </is>
      </c>
      <c r="J39" s="16" t="n">
        <v>14</v>
      </c>
      <c r="K39" s="16" t="n">
        <v>22</v>
      </c>
      <c r="L39" s="16" t="n">
        <v>8</v>
      </c>
      <c r="M39" s="16" t="n">
        <v>0</v>
      </c>
      <c r="N39" s="16" t="n">
        <v>-2</v>
      </c>
    </row>
    <row r="40">
      <c r="A40" s="27" t="n">
        <v>40</v>
      </c>
      <c r="B40" s="25" t="n">
        <v>202</v>
      </c>
      <c r="C40" s="26" t="n"/>
      <c r="D40" s="24" t="inlineStr">
        <is>
          <t>Floor</t>
        </is>
      </c>
      <c r="E40" s="24" t="inlineStr">
        <is>
          <t>CS Par</t>
        </is>
      </c>
      <c r="F40" s="25" t="n"/>
      <c r="G40" s="25" t="inlineStr">
        <is>
          <t>IRGBS</t>
        </is>
      </c>
      <c r="H40" s="25" t="n"/>
      <c r="I40" s="24" t="inlineStr">
        <is>
          <t>Flares</t>
        </is>
      </c>
      <c r="J40" s="16" t="n">
        <v>0</v>
      </c>
      <c r="K40" s="16" t="n">
        <v>22</v>
      </c>
      <c r="L40" s="16" t="n">
        <v>6</v>
      </c>
      <c r="M40" s="16" t="n">
        <v>0</v>
      </c>
      <c r="N40" s="16" t="n">
        <v>-2</v>
      </c>
    </row>
    <row r="41">
      <c r="A41" s="32" t="n">
        <v>41</v>
      </c>
      <c r="B41" s="30" t="n">
        <v>62</v>
      </c>
      <c r="C41" s="31" t="n"/>
      <c r="D41" s="29" t="inlineStr">
        <is>
          <t>Floor</t>
        </is>
      </c>
      <c r="E41" s="29" t="inlineStr">
        <is>
          <t>ADJ UltraHex</t>
        </is>
      </c>
      <c r="F41" s="30" t="n">
        <v>1</v>
      </c>
      <c r="G41" s="30" t="inlineStr">
        <is>
          <t>RGBWAU</t>
        </is>
      </c>
      <c r="H41" s="30" t="n"/>
      <c r="I41" s="29" t="inlineStr">
        <is>
          <t>Towers</t>
        </is>
      </c>
      <c r="J41" s="28" t="n">
        <v>-21</v>
      </c>
      <c r="K41" s="28" t="n">
        <v>15</v>
      </c>
      <c r="L41" s="28" t="n">
        <v>0</v>
      </c>
      <c r="M41" s="28" t="n">
        <v>0</v>
      </c>
      <c r="N41" s="28" t="n">
        <v>-2</v>
      </c>
    </row>
    <row r="42">
      <c r="A42" s="32" t="n">
        <v>42</v>
      </c>
      <c r="B42" s="30" t="n">
        <v>68</v>
      </c>
      <c r="C42" s="31" t="n"/>
      <c r="D42" s="29" t="inlineStr">
        <is>
          <t>Floor</t>
        </is>
      </c>
      <c r="E42" s="29" t="inlineStr">
        <is>
          <t>ADJ UltraHex</t>
        </is>
      </c>
      <c r="F42" s="30" t="n">
        <v>1</v>
      </c>
      <c r="G42" s="30" t="inlineStr">
        <is>
          <t>RGBWAU</t>
        </is>
      </c>
      <c r="H42" s="30" t="n"/>
      <c r="I42" s="29" t="inlineStr">
        <is>
          <t>Towers</t>
        </is>
      </c>
      <c r="J42" s="28" t="n">
        <v>-10</v>
      </c>
      <c r="K42" s="28" t="n">
        <v>28</v>
      </c>
      <c r="L42" s="28" t="n">
        <v>8</v>
      </c>
      <c r="M42" s="28" t="n">
        <v>0</v>
      </c>
      <c r="N42" s="28" t="n">
        <v>-2</v>
      </c>
    </row>
    <row r="43">
      <c r="A43" s="32" t="n">
        <v>43</v>
      </c>
      <c r="B43" s="30" t="n">
        <v>74</v>
      </c>
      <c r="C43" s="31" t="n"/>
      <c r="D43" s="29" t="inlineStr">
        <is>
          <t>Floor</t>
        </is>
      </c>
      <c r="E43" s="29" t="inlineStr">
        <is>
          <t>ADJ UltraHex</t>
        </is>
      </c>
      <c r="F43" s="30" t="n">
        <v>1</v>
      </c>
      <c r="G43" s="30" t="inlineStr">
        <is>
          <t>RGBWAU</t>
        </is>
      </c>
      <c r="H43" s="30" t="n"/>
      <c r="I43" s="29" t="inlineStr">
        <is>
          <t>Towers</t>
        </is>
      </c>
      <c r="J43" s="28" t="n">
        <v>10</v>
      </c>
      <c r="K43" s="28" t="n">
        <v>28</v>
      </c>
      <c r="L43" s="28" t="n">
        <v>8</v>
      </c>
      <c r="M43" s="28" t="n">
        <v>0</v>
      </c>
      <c r="N43" s="28" t="n">
        <v>-2</v>
      </c>
    </row>
    <row r="44">
      <c r="A44" s="32" t="n">
        <v>44</v>
      </c>
      <c r="B44" s="30" t="n">
        <v>80</v>
      </c>
      <c r="C44" s="31" t="n"/>
      <c r="D44" s="29" t="inlineStr">
        <is>
          <t>Floor</t>
        </is>
      </c>
      <c r="E44" s="29" t="inlineStr">
        <is>
          <t>ADJ UltraHex</t>
        </is>
      </c>
      <c r="F44" s="30" t="n">
        <v>1</v>
      </c>
      <c r="G44" s="30" t="inlineStr">
        <is>
          <t>RGBWAU</t>
        </is>
      </c>
      <c r="H44" s="30" t="n"/>
      <c r="I44" s="29" t="inlineStr">
        <is>
          <t>Towers</t>
        </is>
      </c>
      <c r="J44" s="28" t="n">
        <v>21</v>
      </c>
      <c r="K44" s="28" t="n">
        <v>15</v>
      </c>
      <c r="L44" s="28" t="n">
        <v>0</v>
      </c>
      <c r="M44" s="28" t="n">
        <v>0</v>
      </c>
      <c r="N44" s="28" t="n">
        <v>-2</v>
      </c>
    </row>
    <row r="45">
      <c r="A45" s="27" t="n">
        <v>63</v>
      </c>
      <c r="B45" s="25" t="n">
        <v>460</v>
      </c>
      <c r="C45" s="26" t="n"/>
      <c r="D45" s="24" t="inlineStr">
        <is>
          <t>Balcony</t>
        </is>
      </c>
      <c r="E45" s="24" t="inlineStr">
        <is>
          <t>CS Spot</t>
        </is>
      </c>
      <c r="F45" s="25" t="n">
        <v>1</v>
      </c>
      <c r="G45" s="25" t="inlineStr">
        <is>
          <t>IRGBS</t>
        </is>
      </c>
      <c r="H45" s="24" t="inlineStr">
        <is>
          <t>ZLLU-B053</t>
        </is>
      </c>
      <c r="I45" s="24" t="inlineStr">
        <is>
          <t>Special</t>
        </is>
      </c>
      <c r="J45" s="22" t="n">
        <v>-30</v>
      </c>
      <c r="K45" s="22" t="n">
        <v>-33</v>
      </c>
      <c r="L45" s="22" t="n">
        <v>20</v>
      </c>
      <c r="M45" s="22" t="n">
        <v>0</v>
      </c>
      <c r="N45" s="22" t="n">
        <v>-2</v>
      </c>
    </row>
    <row r="46" hidden="1">
      <c r="A46" s="15" t="n">
        <v>45</v>
      </c>
      <c r="B46" s="13" t="n">
        <v>86</v>
      </c>
      <c r="C46" s="14" t="n"/>
      <c r="D46" s="12" t="inlineStr">
        <is>
          <t>Bulkhead face</t>
        </is>
      </c>
      <c r="E46" s="12" t="inlineStr">
        <is>
          <t>ADJ UltraHex</t>
        </is>
      </c>
      <c r="F46" s="13" t="n">
        <v>1</v>
      </c>
      <c r="G46" s="13" t="n">
        <v>6</v>
      </c>
      <c r="H46" s="13" t="n"/>
      <c r="I46" s="12" t="inlineStr">
        <is>
          <t>Bulkhead Wash</t>
        </is>
      </c>
      <c r="J46" s="16" t="n">
        <v>-12</v>
      </c>
      <c r="K46" s="16" t="n">
        <v>0</v>
      </c>
      <c r="L46" s="16" t="n">
        <v>20</v>
      </c>
      <c r="M46" s="16" t="n">
        <v>-2</v>
      </c>
      <c r="N46" s="16" t="n">
        <v>-2</v>
      </c>
    </row>
    <row r="47" hidden="1">
      <c r="A47" s="15" t="n">
        <v>46</v>
      </c>
      <c r="B47" s="13" t="n">
        <v>92</v>
      </c>
      <c r="C47" s="14" t="n"/>
      <c r="D47" s="12" t="inlineStr">
        <is>
          <t>Bulkhead face</t>
        </is>
      </c>
      <c r="E47" s="12" t="inlineStr">
        <is>
          <t>ADJ UltraHex</t>
        </is>
      </c>
      <c r="F47" s="13" t="n">
        <v>1</v>
      </c>
      <c r="G47" s="13" t="n">
        <v>6</v>
      </c>
      <c r="H47" s="13" t="n"/>
      <c r="I47" s="12" t="inlineStr">
        <is>
          <t>Bulkhead Wash</t>
        </is>
      </c>
      <c r="J47" s="16" t="n">
        <v>-10</v>
      </c>
      <c r="K47" s="16" t="n">
        <v>-1</v>
      </c>
      <c r="L47" s="16" t="n">
        <v>20</v>
      </c>
      <c r="M47" s="16" t="n">
        <v>0</v>
      </c>
      <c r="N47" s="16" t="n">
        <v>-2</v>
      </c>
    </row>
    <row r="48" hidden="1">
      <c r="A48" s="15" t="n">
        <v>47</v>
      </c>
      <c r="B48" s="13" t="n">
        <v>207</v>
      </c>
      <c r="C48" s="14" t="n"/>
      <c r="D48" s="12" t="inlineStr">
        <is>
          <t>Bulkhead face</t>
        </is>
      </c>
      <c r="E48" s="12" t="inlineStr">
        <is>
          <t>ADJ UltraHex</t>
        </is>
      </c>
      <c r="F48" s="13" t="n">
        <v>1</v>
      </c>
      <c r="G48" s="13" t="n">
        <v>6</v>
      </c>
      <c r="H48" s="13" t="n"/>
      <c r="I48" s="12" t="inlineStr">
        <is>
          <t>Bulkhead Wash</t>
        </is>
      </c>
      <c r="J48" s="16" t="n">
        <v>10</v>
      </c>
      <c r="K48" s="16" t="n">
        <v>-1</v>
      </c>
      <c r="L48" s="16" t="n">
        <v>20</v>
      </c>
      <c r="M48" s="16" t="n">
        <v>0</v>
      </c>
      <c r="N48" s="16" t="n">
        <v>-2</v>
      </c>
    </row>
    <row r="49" hidden="1">
      <c r="A49" s="15" t="n">
        <v>48</v>
      </c>
      <c r="B49" s="13" t="n">
        <v>213</v>
      </c>
      <c r="C49" s="14" t="n"/>
      <c r="D49" s="12" t="inlineStr">
        <is>
          <t>Bulkhead face</t>
        </is>
      </c>
      <c r="E49" s="12" t="inlineStr">
        <is>
          <t>ADJ UltraHex</t>
        </is>
      </c>
      <c r="F49" s="13" t="n">
        <v>1</v>
      </c>
      <c r="G49" s="13" t="n">
        <v>6</v>
      </c>
      <c r="H49" s="13" t="n"/>
      <c r="I49" s="12" t="inlineStr">
        <is>
          <t>Bulkhead Wash</t>
        </is>
      </c>
      <c r="J49" s="16" t="n">
        <v>12</v>
      </c>
      <c r="K49" s="16" t="n">
        <v>0</v>
      </c>
      <c r="L49" s="16" t="n">
        <v>20</v>
      </c>
      <c r="M49" s="16" t="n">
        <v>2</v>
      </c>
      <c r="N49" s="16" t="n">
        <v>-2</v>
      </c>
    </row>
    <row r="50" hidden="1">
      <c r="A50" s="9" t="n">
        <v>49</v>
      </c>
      <c r="B50" s="7" t="n">
        <v>219</v>
      </c>
      <c r="C50" s="8" t="n"/>
      <c r="D50" s="6" t="inlineStr">
        <is>
          <t>East Wall</t>
        </is>
      </c>
      <c r="E50" s="6" t="inlineStr">
        <is>
          <t>ADJ UltraHex</t>
        </is>
      </c>
      <c r="F50" s="7" t="n">
        <v>1</v>
      </c>
      <c r="G50" s="7" t="n">
        <v>12</v>
      </c>
      <c r="H50" s="7" t="n"/>
      <c r="I50" s="6" t="inlineStr">
        <is>
          <t>Wall Wash</t>
        </is>
      </c>
      <c r="J50" s="16" t="n">
        <v>-46</v>
      </c>
      <c r="K50" s="16" t="n">
        <v>-10</v>
      </c>
      <c r="L50" s="16">
        <f>16</f>
        <v/>
      </c>
      <c r="M50" s="16" t="n">
        <v>2</v>
      </c>
      <c r="N50" s="16" t="n">
        <v>-2</v>
      </c>
    </row>
    <row r="51" hidden="1">
      <c r="A51" s="9" t="n">
        <v>50</v>
      </c>
      <c r="B51" s="7" t="n">
        <v>231</v>
      </c>
      <c r="C51" s="8" t="n"/>
      <c r="D51" s="6" t="inlineStr">
        <is>
          <t>East Wall</t>
        </is>
      </c>
      <c r="E51" s="6" t="inlineStr">
        <is>
          <t>ADJ UltraHex</t>
        </is>
      </c>
      <c r="F51" s="7" t="n">
        <v>1</v>
      </c>
      <c r="G51" s="7" t="n">
        <v>12</v>
      </c>
      <c r="H51" s="7" t="n"/>
      <c r="I51" s="6" t="inlineStr">
        <is>
          <t>Wall Wash</t>
        </is>
      </c>
      <c r="J51" s="16">
        <f>J50+2.7</f>
        <v/>
      </c>
      <c r="K51" s="16">
        <f>K50+3</f>
        <v/>
      </c>
      <c r="L51" s="16">
        <f>L50+1</f>
        <v/>
      </c>
      <c r="M51" s="16" t="n">
        <v>2</v>
      </c>
      <c r="N51" s="16" t="n">
        <v>-2.2</v>
      </c>
    </row>
    <row r="52" hidden="1">
      <c r="A52" s="9" t="n">
        <v>51</v>
      </c>
      <c r="B52" s="7" t="n">
        <v>243</v>
      </c>
      <c r="C52" s="8" t="n"/>
      <c r="D52" s="6" t="inlineStr">
        <is>
          <t>East Wall</t>
        </is>
      </c>
      <c r="E52" s="6" t="inlineStr">
        <is>
          <t>ADJ UltraHex</t>
        </is>
      </c>
      <c r="F52" s="7" t="n">
        <v>1</v>
      </c>
      <c r="G52" s="7" t="n">
        <v>12</v>
      </c>
      <c r="H52" s="7" t="n"/>
      <c r="I52" s="6" t="inlineStr">
        <is>
          <t>Wall Wash</t>
        </is>
      </c>
      <c r="J52" s="16">
        <f>J51+2.7</f>
        <v/>
      </c>
      <c r="K52" s="16">
        <f>K51+3</f>
        <v/>
      </c>
      <c r="L52" s="16">
        <f>L51+1</f>
        <v/>
      </c>
      <c r="M52" s="16" t="n">
        <v>2</v>
      </c>
      <c r="N52" s="16" t="n">
        <v>-2.2</v>
      </c>
    </row>
    <row r="53" hidden="1">
      <c r="A53" s="9" t="n">
        <v>52</v>
      </c>
      <c r="B53" s="7" t="n">
        <v>255</v>
      </c>
      <c r="C53" s="8" t="n"/>
      <c r="D53" s="6" t="inlineStr">
        <is>
          <t>East Wall</t>
        </is>
      </c>
      <c r="E53" s="6" t="inlineStr">
        <is>
          <t>ADJ UltraHex</t>
        </is>
      </c>
      <c r="F53" s="7" t="n">
        <v>1</v>
      </c>
      <c r="G53" s="7" t="n">
        <v>12</v>
      </c>
      <c r="H53" s="7" t="n"/>
      <c r="I53" s="6" t="inlineStr">
        <is>
          <t>Wall Wash</t>
        </is>
      </c>
      <c r="J53" s="16">
        <f>J52+2.7</f>
        <v/>
      </c>
      <c r="K53" s="16">
        <f>K52+3</f>
        <v/>
      </c>
      <c r="L53" s="16">
        <f>L52+1</f>
        <v/>
      </c>
      <c r="M53" s="16" t="n">
        <v>2</v>
      </c>
      <c r="N53" s="16" t="n">
        <v>-2.2</v>
      </c>
    </row>
    <row r="54" hidden="1">
      <c r="A54" s="9" t="n">
        <v>53</v>
      </c>
      <c r="B54" s="7" t="n">
        <v>267</v>
      </c>
      <c r="C54" s="8" t="n"/>
      <c r="D54" s="6" t="inlineStr">
        <is>
          <t>East Wall</t>
        </is>
      </c>
      <c r="E54" s="6" t="inlineStr">
        <is>
          <t>ADJ UltraHex</t>
        </is>
      </c>
      <c r="F54" s="7" t="n">
        <v>1</v>
      </c>
      <c r="G54" s="7" t="n">
        <v>12</v>
      </c>
      <c r="H54" s="7" t="n"/>
      <c r="I54" s="6" t="inlineStr">
        <is>
          <t>Wall Wash</t>
        </is>
      </c>
      <c r="J54" s="16">
        <f>J53+2.7</f>
        <v/>
      </c>
      <c r="K54" s="16">
        <f>K53+3</f>
        <v/>
      </c>
      <c r="L54" s="16">
        <f>L53+1</f>
        <v/>
      </c>
      <c r="M54" s="16" t="n">
        <v>2</v>
      </c>
      <c r="N54" s="16" t="n">
        <v>-2.2</v>
      </c>
    </row>
    <row r="55" hidden="1">
      <c r="A55" s="9" t="n">
        <v>54</v>
      </c>
      <c r="B55" s="7" t="n">
        <v>279</v>
      </c>
      <c r="C55" s="8" t="n"/>
      <c r="D55" s="6" t="inlineStr">
        <is>
          <t>East Wall</t>
        </is>
      </c>
      <c r="E55" s="6" t="inlineStr">
        <is>
          <t>ADJ UltraHex</t>
        </is>
      </c>
      <c r="F55" s="7" t="n">
        <v>1</v>
      </c>
      <c r="G55" s="7" t="n">
        <v>12</v>
      </c>
      <c r="H55" s="7" t="n"/>
      <c r="I55" s="6" t="inlineStr">
        <is>
          <t>Wall Wash</t>
        </is>
      </c>
      <c r="J55" s="16">
        <f>J54+2.7</f>
        <v/>
      </c>
      <c r="K55" s="16">
        <f>K54+3</f>
        <v/>
      </c>
      <c r="L55" s="16">
        <f>L54+1</f>
        <v/>
      </c>
      <c r="M55" s="16" t="n">
        <v>2</v>
      </c>
      <c r="N55" s="16" t="n">
        <v>-2.2</v>
      </c>
    </row>
    <row r="56" hidden="1">
      <c r="A56" s="9" t="n">
        <v>55</v>
      </c>
      <c r="B56" s="7" t="n">
        <v>291</v>
      </c>
      <c r="C56" s="8" t="n"/>
      <c r="D56" s="6" t="inlineStr">
        <is>
          <t>East Wall</t>
        </is>
      </c>
      <c r="E56" s="6" t="inlineStr">
        <is>
          <t>ADJ UltraHex</t>
        </is>
      </c>
      <c r="F56" s="7" t="n">
        <v>1</v>
      </c>
      <c r="G56" s="7" t="n">
        <v>12</v>
      </c>
      <c r="H56" s="7" t="n"/>
      <c r="I56" s="6" t="inlineStr">
        <is>
          <t>Wall Wash</t>
        </is>
      </c>
      <c r="J56" s="16">
        <f>J55+2.7</f>
        <v/>
      </c>
      <c r="K56" s="16">
        <f>K55+3</f>
        <v/>
      </c>
      <c r="L56" s="16">
        <f>L55+1</f>
        <v/>
      </c>
      <c r="M56" s="16" t="n">
        <v>2</v>
      </c>
      <c r="N56" s="16" t="n">
        <v>-2.2</v>
      </c>
    </row>
    <row r="57" hidden="1">
      <c r="A57" s="27" t="n">
        <v>56</v>
      </c>
      <c r="B57" s="25" t="n">
        <v>303</v>
      </c>
      <c r="C57" s="26" t="n"/>
      <c r="D57" s="24" t="inlineStr">
        <is>
          <t>West Wall</t>
        </is>
      </c>
      <c r="E57" s="24" t="inlineStr">
        <is>
          <t>ADJ UltraHex</t>
        </is>
      </c>
      <c r="F57" s="7" t="n">
        <v>1</v>
      </c>
      <c r="G57" s="7" t="n">
        <v>12</v>
      </c>
      <c r="H57" s="25" t="n"/>
      <c r="I57" s="24" t="inlineStr">
        <is>
          <t>Wall Wash</t>
        </is>
      </c>
      <c r="J57" s="16">
        <f>J56*-1</f>
        <v/>
      </c>
      <c r="K57" s="16">
        <f>K56</f>
        <v/>
      </c>
      <c r="L57" s="16">
        <f>L56</f>
        <v/>
      </c>
      <c r="M57" s="16">
        <f>M56*-1</f>
        <v/>
      </c>
      <c r="N57" s="16" t="n">
        <v>-2.2</v>
      </c>
    </row>
    <row r="58" hidden="1">
      <c r="A58" s="27" t="n">
        <v>57</v>
      </c>
      <c r="B58" s="25" t="n">
        <v>315</v>
      </c>
      <c r="C58" s="26" t="n"/>
      <c r="D58" s="24" t="inlineStr">
        <is>
          <t>West Wall</t>
        </is>
      </c>
      <c r="E58" s="24" t="inlineStr">
        <is>
          <t>ADJ UltraHex</t>
        </is>
      </c>
      <c r="F58" s="7" t="n">
        <v>1</v>
      </c>
      <c r="G58" s="7" t="n">
        <v>12</v>
      </c>
      <c r="H58" s="25" t="n"/>
      <c r="I58" s="24" t="inlineStr">
        <is>
          <t>Wall Wash</t>
        </is>
      </c>
      <c r="J58" s="16">
        <f>J55*-1</f>
        <v/>
      </c>
      <c r="K58" s="16">
        <f>K57-3</f>
        <v/>
      </c>
      <c r="L58" s="16">
        <f>L57-1</f>
        <v/>
      </c>
      <c r="M58" s="16">
        <f>M57</f>
        <v/>
      </c>
      <c r="N58" s="16" t="n">
        <v>-2.2</v>
      </c>
    </row>
    <row r="59" hidden="1">
      <c r="A59" s="27" t="n">
        <v>58</v>
      </c>
      <c r="B59" s="25" t="n">
        <v>327</v>
      </c>
      <c r="C59" s="26" t="n"/>
      <c r="D59" s="24" t="inlineStr">
        <is>
          <t>West Wall</t>
        </is>
      </c>
      <c r="E59" s="24" t="inlineStr">
        <is>
          <t>ADJ UltraHex</t>
        </is>
      </c>
      <c r="F59" s="7" t="n">
        <v>1</v>
      </c>
      <c r="G59" s="7" t="n">
        <v>12</v>
      </c>
      <c r="H59" s="25" t="n"/>
      <c r="I59" s="24" t="inlineStr">
        <is>
          <t>Wall Wash</t>
        </is>
      </c>
      <c r="J59" s="16">
        <f>J54*-1</f>
        <v/>
      </c>
      <c r="K59" s="16">
        <f>K58-3</f>
        <v/>
      </c>
      <c r="L59" s="16">
        <f>L58-1</f>
        <v/>
      </c>
      <c r="M59" s="16">
        <f>M58</f>
        <v/>
      </c>
      <c r="N59" s="16" t="n">
        <v>-2.2</v>
      </c>
    </row>
    <row r="60" hidden="1">
      <c r="A60" s="27" t="n">
        <v>59</v>
      </c>
      <c r="B60" s="25" t="n">
        <v>339</v>
      </c>
      <c r="C60" s="26" t="n"/>
      <c r="D60" s="24" t="inlineStr">
        <is>
          <t>West Wall</t>
        </is>
      </c>
      <c r="E60" s="24" t="inlineStr">
        <is>
          <t>ADJ UltraHex</t>
        </is>
      </c>
      <c r="F60" s="7" t="n">
        <v>1</v>
      </c>
      <c r="G60" s="7" t="n">
        <v>12</v>
      </c>
      <c r="H60" s="25" t="n"/>
      <c r="I60" s="24" t="inlineStr">
        <is>
          <t>Wall Wash</t>
        </is>
      </c>
      <c r="J60" s="16">
        <f>J53*-1</f>
        <v/>
      </c>
      <c r="K60" s="16">
        <f>K59-3</f>
        <v/>
      </c>
      <c r="L60" s="16">
        <f>L59-1</f>
        <v/>
      </c>
      <c r="M60" s="16">
        <f>M59</f>
        <v/>
      </c>
      <c r="N60" s="16" t="n">
        <v>-2.2</v>
      </c>
    </row>
    <row r="61" hidden="1">
      <c r="A61" s="27" t="n">
        <v>60</v>
      </c>
      <c r="B61" s="25" t="n">
        <v>351</v>
      </c>
      <c r="C61" s="26" t="n"/>
      <c r="D61" s="24" t="inlineStr">
        <is>
          <t>West Wall</t>
        </is>
      </c>
      <c r="E61" s="24" t="inlineStr">
        <is>
          <t>ADJ UltraHex</t>
        </is>
      </c>
      <c r="F61" s="7" t="n">
        <v>1</v>
      </c>
      <c r="G61" s="7" t="n">
        <v>12</v>
      </c>
      <c r="H61" s="25" t="n"/>
      <c r="I61" s="24" t="inlineStr">
        <is>
          <t>Wall Wash</t>
        </is>
      </c>
      <c r="J61" s="16">
        <f>J52*-1</f>
        <v/>
      </c>
      <c r="K61" s="16">
        <f>K60-3</f>
        <v/>
      </c>
      <c r="L61" s="16">
        <f>L60-1</f>
        <v/>
      </c>
      <c r="M61" s="16">
        <f>M60</f>
        <v/>
      </c>
      <c r="N61" s="16" t="n">
        <v>-2.2</v>
      </c>
    </row>
    <row r="62" hidden="1">
      <c r="A62" s="27" t="n">
        <v>61</v>
      </c>
      <c r="B62" s="25" t="n">
        <v>363</v>
      </c>
      <c r="C62" s="26" t="n"/>
      <c r="D62" s="24" t="inlineStr">
        <is>
          <t>West Wall</t>
        </is>
      </c>
      <c r="E62" s="24" t="inlineStr">
        <is>
          <t>ADJ UltraHex</t>
        </is>
      </c>
      <c r="F62" s="7" t="n">
        <v>1</v>
      </c>
      <c r="G62" s="7" t="n">
        <v>12</v>
      </c>
      <c r="H62" s="25" t="n"/>
      <c r="I62" s="24" t="inlineStr">
        <is>
          <t>Wall Wash</t>
        </is>
      </c>
      <c r="J62" s="16">
        <f>J61+2</f>
        <v/>
      </c>
      <c r="K62" s="16">
        <f>K61-3</f>
        <v/>
      </c>
      <c r="L62" s="16">
        <f>L61-1</f>
        <v/>
      </c>
      <c r="M62" s="16">
        <f>M61</f>
        <v/>
      </c>
      <c r="N62" s="16" t="n">
        <v>-2.2</v>
      </c>
    </row>
    <row r="63" hidden="1">
      <c r="A63" s="27" t="n">
        <v>62</v>
      </c>
      <c r="B63" s="25" t="n">
        <v>375</v>
      </c>
      <c r="C63" s="26" t="n"/>
      <c r="D63" s="24" t="inlineStr">
        <is>
          <t>West Wall</t>
        </is>
      </c>
      <c r="E63" s="24" t="inlineStr">
        <is>
          <t>ADJ UltraHex</t>
        </is>
      </c>
      <c r="F63" s="7" t="n">
        <v>1</v>
      </c>
      <c r="G63" s="7" t="n">
        <v>12</v>
      </c>
      <c r="H63" s="25" t="n"/>
      <c r="I63" s="24" t="inlineStr">
        <is>
          <t>Wall Wash</t>
        </is>
      </c>
      <c r="J63" s="16">
        <f>J50*-1</f>
        <v/>
      </c>
      <c r="K63" s="16">
        <f>K62-3</f>
        <v/>
      </c>
      <c r="L63" s="16">
        <f>L62-1</f>
        <v/>
      </c>
      <c r="M63" s="16">
        <f>M62</f>
        <v/>
      </c>
      <c r="N63" s="16" t="n">
        <v>-2.2</v>
      </c>
    </row>
    <row r="64">
      <c r="A64" s="27" t="n">
        <v>64</v>
      </c>
      <c r="B64" s="25" t="n">
        <v>460</v>
      </c>
      <c r="C64" s="26" t="n"/>
      <c r="D64" s="24" t="inlineStr">
        <is>
          <t>Balcony</t>
        </is>
      </c>
      <c r="E64" s="24" t="inlineStr">
        <is>
          <t>CS Spot</t>
        </is>
      </c>
      <c r="F64" s="25" t="n">
        <v>1</v>
      </c>
      <c r="G64" s="25" t="inlineStr">
        <is>
          <t>IRGBS</t>
        </is>
      </c>
      <c r="H64" s="24" t="inlineStr">
        <is>
          <t>ZLLU-B054</t>
        </is>
      </c>
      <c r="I64" s="23" t="inlineStr">
        <is>
          <t>Special</t>
        </is>
      </c>
      <c r="J64" s="22" t="n">
        <v>30</v>
      </c>
      <c r="K64" s="22" t="n">
        <v>-33</v>
      </c>
      <c r="L64" s="22" t="n">
        <v>20</v>
      </c>
      <c r="M64" s="22" t="n">
        <v>0</v>
      </c>
      <c r="N64" s="22" t="n">
        <v>-2</v>
      </c>
    </row>
    <row r="65">
      <c r="A65" s="27" t="n">
        <v>65</v>
      </c>
      <c r="B65" s="25" t="n">
        <v>458</v>
      </c>
      <c r="C65" s="26" t="n"/>
      <c r="D65" s="24" t="inlineStr">
        <is>
          <t>Balcony</t>
        </is>
      </c>
      <c r="E65" s="24" t="inlineStr">
        <is>
          <t>4WRD</t>
        </is>
      </c>
      <c r="F65" s="25" t="n">
        <v>1</v>
      </c>
      <c r="G65" s="25" t="inlineStr">
        <is>
          <t>I</t>
        </is>
      </c>
      <c r="H65" s="24" t="inlineStr">
        <is>
          <t>ZLLU-B051</t>
        </is>
      </c>
      <c r="I65" s="23" t="inlineStr">
        <is>
          <t>Cross</t>
        </is>
      </c>
      <c r="J65" s="22" t="n">
        <v>-26</v>
      </c>
      <c r="K65" s="22" t="n">
        <v>-37</v>
      </c>
      <c r="L65" s="22" t="n">
        <v>20</v>
      </c>
      <c r="M65" s="22" t="n">
        <v>0</v>
      </c>
      <c r="N65" s="22" t="n">
        <v>-2</v>
      </c>
    </row>
    <row r="66">
      <c r="A66" s="27" t="n">
        <v>66</v>
      </c>
      <c r="B66" s="25" t="n">
        <v>459</v>
      </c>
      <c r="C66" s="26" t="n"/>
      <c r="D66" s="24" t="inlineStr">
        <is>
          <t>Balcony</t>
        </is>
      </c>
      <c r="E66" s="24" t="inlineStr">
        <is>
          <t>4WRD</t>
        </is>
      </c>
      <c r="F66" s="25" t="n">
        <v>1</v>
      </c>
      <c r="G66" s="25" t="inlineStr">
        <is>
          <t>I</t>
        </is>
      </c>
      <c r="H66" s="24" t="inlineStr">
        <is>
          <t>ZLLU-B052</t>
        </is>
      </c>
      <c r="I66" s="23" t="inlineStr">
        <is>
          <t>Special</t>
        </is>
      </c>
      <c r="J66" s="22" t="n">
        <v>26</v>
      </c>
      <c r="K66" s="22" t="n">
        <v>-37</v>
      </c>
      <c r="L66" s="22" t="n">
        <v>20</v>
      </c>
      <c r="M66" s="22" t="n">
        <v>0</v>
      </c>
      <c r="N66" s="22" t="n">
        <v>-2</v>
      </c>
    </row>
    <row r="67">
      <c r="A67" s="21" t="n">
        <v>67</v>
      </c>
      <c r="B67" s="16" t="n"/>
      <c r="C67" s="20" t="n"/>
      <c r="D67" s="19" t="inlineStr">
        <is>
          <t>FloorBars</t>
        </is>
      </c>
      <c r="E67" s="19" t="inlineStr">
        <is>
          <t>AW bars</t>
        </is>
      </c>
      <c r="F67" s="18" t="n">
        <v>6</v>
      </c>
      <c r="G67" s="18" t="inlineStr">
        <is>
          <t>RGB</t>
        </is>
      </c>
      <c r="H67" s="18" t="n"/>
      <c r="I67" s="17" t="inlineStr">
        <is>
          <t>Scrims</t>
        </is>
      </c>
      <c r="J67" s="16" t="n">
        <v>0</v>
      </c>
      <c r="K67" s="16" t="n">
        <v>16</v>
      </c>
      <c r="L67" s="16" t="n">
        <v>0</v>
      </c>
      <c r="M67" s="16" t="n">
        <v>0</v>
      </c>
      <c r="N67" s="16" t="n">
        <v>-2</v>
      </c>
    </row>
    <row r="68">
      <c r="A68" s="15" t="n">
        <v>68</v>
      </c>
      <c r="B68" s="13" t="n">
        <v>473</v>
      </c>
      <c r="C68" s="14" t="n"/>
      <c r="D68" s="12" t="inlineStr">
        <is>
          <t>Pendants</t>
        </is>
      </c>
      <c r="E68" s="12" t="inlineStr">
        <is>
          <t>Ketra</t>
        </is>
      </c>
      <c r="F68" s="13" t="n"/>
      <c r="G68" s="13" t="inlineStr">
        <is>
          <t>RGB</t>
        </is>
      </c>
      <c r="H68" s="13" t="n"/>
      <c r="I68" s="12" t="inlineStr">
        <is>
          <t>Main Spots</t>
        </is>
      </c>
      <c r="J68" s="11" t="n"/>
      <c r="K68" s="11" t="n"/>
      <c r="L68" s="11" t="n"/>
      <c r="M68" s="10" t="n"/>
      <c r="N68" s="10" t="n"/>
    </row>
    <row r="69">
      <c r="A69" s="15" t="n">
        <v>69</v>
      </c>
      <c r="B69" s="13" t="n">
        <v>503</v>
      </c>
      <c r="C69" s="14" t="n"/>
      <c r="D69" s="12" t="inlineStr">
        <is>
          <t>Pendants</t>
        </is>
      </c>
      <c r="E69" s="12" t="inlineStr">
        <is>
          <t>Ketra</t>
        </is>
      </c>
      <c r="F69" s="13" t="n"/>
      <c r="G69" s="13" t="inlineStr">
        <is>
          <t>RGB</t>
        </is>
      </c>
      <c r="H69" s="13" t="n"/>
      <c r="I69" s="12" t="inlineStr">
        <is>
          <t>L+R Wash</t>
        </is>
      </c>
      <c r="J69" s="11" t="n"/>
      <c r="K69" s="11" t="n"/>
      <c r="L69" s="11" t="n"/>
      <c r="M69" s="10" t="n"/>
      <c r="N69" s="10" t="n"/>
    </row>
    <row r="70">
      <c r="A70" s="15" t="n">
        <v>70</v>
      </c>
      <c r="B70" s="13" t="n">
        <v>500</v>
      </c>
      <c r="C70" s="14" t="n"/>
      <c r="D70" s="12" t="inlineStr">
        <is>
          <t>Balcony Pots</t>
        </is>
      </c>
      <c r="E70" s="12" t="inlineStr">
        <is>
          <t>Ketra</t>
        </is>
      </c>
      <c r="F70" s="13" t="n"/>
      <c r="G70" s="13" t="inlineStr">
        <is>
          <t>RGB</t>
        </is>
      </c>
      <c r="H70" s="13" t="n"/>
      <c r="I70" s="12" t="inlineStr">
        <is>
          <t>Under Balcony</t>
        </is>
      </c>
      <c r="J70" s="11" t="n"/>
      <c r="K70" s="11" t="n"/>
      <c r="L70" s="11" t="n"/>
      <c r="M70" s="10" t="n"/>
      <c r="N70" s="10" t="n"/>
    </row>
    <row r="71">
      <c r="A71" s="15" t="n">
        <v>71</v>
      </c>
      <c r="B71" s="13" t="n">
        <v>506</v>
      </c>
      <c r="C71" s="14" t="n"/>
      <c r="D71" s="12" t="inlineStr">
        <is>
          <t>Pendants</t>
        </is>
      </c>
      <c r="E71" s="12" t="inlineStr">
        <is>
          <t>Ketra</t>
        </is>
      </c>
      <c r="F71" s="13" t="n"/>
      <c r="G71" s="13" t="inlineStr">
        <is>
          <t>RGB</t>
        </is>
      </c>
      <c r="H71" s="13" t="n"/>
      <c r="I71" s="12" t="inlineStr">
        <is>
          <t>Main Wash</t>
        </is>
      </c>
      <c r="J71" s="11" t="n"/>
      <c r="K71" s="11" t="n"/>
      <c r="L71" s="11" t="n"/>
      <c r="M71" s="10" t="n"/>
      <c r="N71" s="10" t="n"/>
    </row>
    <row r="72">
      <c r="A72" s="15" t="n">
        <v>72</v>
      </c>
      <c r="B72" s="13" t="n">
        <v>509</v>
      </c>
      <c r="C72" s="14" t="n"/>
      <c r="D72" s="12" t="inlineStr">
        <is>
          <t>Pendants</t>
        </is>
      </c>
      <c r="E72" s="12" t="inlineStr">
        <is>
          <t>Ketra</t>
        </is>
      </c>
      <c r="F72" s="13" t="n"/>
      <c r="G72" s="13" t="inlineStr">
        <is>
          <t>RGB</t>
        </is>
      </c>
      <c r="H72" s="13" t="n"/>
      <c r="I72" s="12" t="inlineStr">
        <is>
          <t>Balcony</t>
        </is>
      </c>
      <c r="J72" s="11" t="n"/>
      <c r="K72" s="11" t="n"/>
      <c r="L72" s="11" t="n"/>
      <c r="M72" s="10" t="n"/>
      <c r="N72" s="10" t="n"/>
    </row>
    <row r="73">
      <c r="A73" s="15" t="n">
        <v>73</v>
      </c>
      <c r="B73" s="13" t="n">
        <v>470</v>
      </c>
      <c r="C73" s="14" t="n"/>
      <c r="D73" s="12" t="inlineStr">
        <is>
          <t>Pendants</t>
        </is>
      </c>
      <c r="E73" s="12" t="inlineStr">
        <is>
          <t>Ketra</t>
        </is>
      </c>
      <c r="F73" s="13" t="n"/>
      <c r="G73" s="13" t="inlineStr">
        <is>
          <t>RGB</t>
        </is>
      </c>
      <c r="H73" s="13" t="n"/>
      <c r="I73" s="12" t="inlineStr">
        <is>
          <t>L+R Spots</t>
        </is>
      </c>
      <c r="J73" s="11" t="n"/>
      <c r="K73" s="11" t="n"/>
      <c r="L73" s="11" t="n"/>
      <c r="M73" s="10" t="n"/>
      <c r="N73" s="10" t="n"/>
    </row>
    <row r="74">
      <c r="A74" s="9" t="n">
        <v>78</v>
      </c>
      <c r="B74" s="7" t="n"/>
      <c r="C74" s="8" t="n"/>
      <c r="D74" s="6" t="n"/>
      <c r="E74" s="6" t="n"/>
      <c r="F74" s="7" t="n"/>
      <c r="G74" s="7" t="n"/>
      <c r="H74" s="7" t="n"/>
      <c r="I74" s="6" t="inlineStr">
        <is>
          <t>unused</t>
        </is>
      </c>
      <c r="J74" s="5" t="n"/>
      <c r="K74" s="5" t="n"/>
      <c r="L74" s="5" t="n"/>
      <c r="M74" s="4" t="n"/>
      <c r="N74" s="4" t="n"/>
    </row>
    <row r="75">
      <c r="A75" s="9" t="n">
        <v>79</v>
      </c>
      <c r="B75" s="7" t="n"/>
      <c r="C75" s="8" t="n"/>
      <c r="D75" s="6" t="n"/>
      <c r="E75" s="6" t="n"/>
      <c r="F75" s="7" t="n"/>
      <c r="G75" s="7" t="n"/>
      <c r="H75" s="7" t="n"/>
      <c r="I75" s="6" t="inlineStr">
        <is>
          <t>unused</t>
        </is>
      </c>
      <c r="J75" s="5" t="n"/>
      <c r="K75" s="5" t="n"/>
      <c r="L75" s="5" t="n"/>
      <c r="M75" s="4" t="n"/>
      <c r="N75" s="4" t="n"/>
    </row>
    <row r="76">
      <c r="A76" s="9" t="n">
        <v>80</v>
      </c>
      <c r="B76" s="7" t="n"/>
      <c r="C76" s="8" t="n"/>
      <c r="D76" s="6" t="n"/>
      <c r="E76" s="6" t="n"/>
      <c r="F76" s="7" t="n"/>
      <c r="G76" s="7" t="n"/>
      <c r="H76" s="7" t="n"/>
      <c r="I76" s="6" t="inlineStr">
        <is>
          <t>unused</t>
        </is>
      </c>
      <c r="J76" s="5" t="n"/>
      <c r="K76" s="5" t="n"/>
      <c r="L76" s="5" t="n"/>
      <c r="M76" s="4" t="n"/>
      <c r="N76" s="4" t="n"/>
    </row>
  </sheetData>
  <pageMargins left="0.75" right="0.75" top="1" bottom="1" header="0.5" footer="0.5"/>
  <pageSetup orientation="portrait" paperSize="0" horizontalDpi="4294967292" verticalDpi="429496729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4"/>
  <sheetViews>
    <sheetView tabSelected="1" workbookViewId="0">
      <pane xSplit="1" ySplit="1" topLeftCell="B107" activePane="bottomRight" state="frozen"/>
      <selection pane="topRight" activeCell="A1" sqref="A1"/>
      <selection pane="bottomLeft" activeCell="A1" sqref="A1"/>
      <selection pane="bottomRight" activeCell="H74" sqref="H74"/>
    </sheetView>
  </sheetViews>
  <sheetFormatPr baseColWidth="10" defaultColWidth="8.83203125" defaultRowHeight="16"/>
  <cols>
    <col width="11.1640625" customWidth="1" min="1" max="1"/>
    <col width="15" customWidth="1" min="2" max="2"/>
    <col width="14" customWidth="1" min="3" max="3"/>
    <col width="18" customWidth="1" min="4" max="4"/>
    <col width="22" customWidth="1" min="5" max="5"/>
    <col width="20" customWidth="1" min="6" max="6"/>
    <col width="9" customWidth="1" min="7" max="7"/>
    <col width="13.83203125" customWidth="1" min="8" max="8"/>
    <col width="9" customWidth="1" min="9" max="10"/>
    <col width="10" customWidth="1" min="11" max="11"/>
    <col width="7" customWidth="1" min="12" max="16"/>
    <col width="11" customWidth="1" min="17" max="17"/>
    <col width="70" customWidth="1" min="18" max="18"/>
  </cols>
  <sheetData>
    <row r="1">
      <c r="A1" s="58" t="inlineStr">
        <is>
          <t>FixtureID</t>
        </is>
      </c>
      <c r="B1" s="58" t="inlineStr">
        <is>
          <t>FixtureIdGroup</t>
        </is>
      </c>
      <c r="C1" s="58" t="inlineStr">
        <is>
          <t>FixtureType</t>
        </is>
      </c>
      <c r="D1" s="58" t="inlineStr">
        <is>
          <t>Usage</t>
        </is>
      </c>
      <c r="E1" s="58" t="inlineStr">
        <is>
          <t>Description</t>
        </is>
      </c>
      <c r="F1" s="58" t="inlineStr">
        <is>
          <t>Location</t>
        </is>
      </c>
      <c r="G1" s="58" t="inlineStr">
        <is>
          <t>Status</t>
        </is>
      </c>
      <c r="H1" s="58" t="inlineStr">
        <is>
          <t>AssetTag</t>
        </is>
      </c>
      <c r="I1" s="58" t="inlineStr">
        <is>
          <t>Universe</t>
        </is>
      </c>
      <c r="J1" s="58" t="inlineStr">
        <is>
          <t>Address</t>
        </is>
      </c>
      <c r="K1" s="58" t="inlineStr">
        <is>
          <t>Footprint</t>
        </is>
      </c>
      <c r="L1" s="58" t="inlineStr">
        <is>
          <t>x</t>
        </is>
      </c>
      <c r="M1" s="58" t="inlineStr">
        <is>
          <t>y</t>
        </is>
      </c>
      <c r="N1" s="58" t="inlineStr">
        <is>
          <t>z</t>
        </is>
      </c>
      <c r="O1" s="58" t="inlineStr">
        <is>
          <t>nx</t>
        </is>
      </c>
      <c r="P1" s="58" t="inlineStr">
        <is>
          <t>ny</t>
        </is>
      </c>
      <c r="Q1" s="58" t="inlineStr">
        <is>
          <t>OldChannel</t>
        </is>
      </c>
      <c r="R1" s="58" t="inlineStr">
        <is>
          <t>Notes</t>
        </is>
      </c>
    </row>
    <row r="2">
      <c r="A2" s="60" t="n">
        <v>101</v>
      </c>
      <c r="B2" s="60" t="inlineStr">
        <is>
          <t>1xx</t>
        </is>
      </c>
      <c r="C2" s="60" t="inlineStr">
        <is>
          <t>4WRD</t>
        </is>
      </c>
      <c r="D2" s="60" t="inlineStr">
        <is>
          <t>Thrust Face</t>
        </is>
      </c>
      <c r="E2" s="60" t="inlineStr">
        <is>
          <t>Thrust Face Wide</t>
        </is>
      </c>
      <c r="F2" s="60" t="inlineStr">
        <is>
          <t>FoH Centre</t>
        </is>
      </c>
      <c r="G2" s="60" t="inlineStr">
        <is>
          <t>Active</t>
        </is>
      </c>
      <c r="H2" s="60" t="inlineStr">
        <is>
          <t>ZLLU-B012</t>
        </is>
      </c>
      <c r="I2" s="60" t="n">
        <v>1</v>
      </c>
      <c r="J2" s="60" t="n"/>
      <c r="K2" s="60" t="n">
        <v>1</v>
      </c>
      <c r="L2" s="60" t="n">
        <v>-11</v>
      </c>
      <c r="M2" s="60" t="n">
        <v>-25</v>
      </c>
      <c r="N2" s="60" t="n">
        <v>26</v>
      </c>
      <c r="O2" s="60" t="n">
        <v>0</v>
      </c>
      <c r="P2" s="60" t="n">
        <v>-2</v>
      </c>
      <c r="Q2" s="60" t="n">
        <v>1</v>
      </c>
      <c r="R2" s="60" t="n"/>
    </row>
    <row r="3">
      <c r="A3" s="60" t="n">
        <v>102</v>
      </c>
      <c r="B3" s="60" t="inlineStr">
        <is>
          <t>1xx</t>
        </is>
      </c>
      <c r="C3" s="60" t="inlineStr">
        <is>
          <t>4WRD</t>
        </is>
      </c>
      <c r="D3" s="60" t="inlineStr">
        <is>
          <t>Thrust Face</t>
        </is>
      </c>
      <c r="E3" s="60" t="inlineStr">
        <is>
          <t>Thrust Face SR</t>
        </is>
      </c>
      <c r="F3" s="60" t="inlineStr">
        <is>
          <t>FoH Centre</t>
        </is>
      </c>
      <c r="G3" s="60" t="inlineStr">
        <is>
          <t>Active</t>
        </is>
      </c>
      <c r="H3" s="60" t="inlineStr">
        <is>
          <t>ZLLU-B013</t>
        </is>
      </c>
      <c r="I3" s="60" t="n">
        <v>1</v>
      </c>
      <c r="J3" s="60" t="n"/>
      <c r="K3" s="60" t="n">
        <v>1</v>
      </c>
      <c r="L3" s="60" t="n">
        <v>-7</v>
      </c>
      <c r="M3" s="60" t="n">
        <v>-25</v>
      </c>
      <c r="N3" s="60" t="n">
        <v>26</v>
      </c>
      <c r="O3" s="60" t="n">
        <v>0</v>
      </c>
      <c r="P3" s="60" t="n">
        <v>-2</v>
      </c>
      <c r="Q3" s="60" t="n">
        <v>2</v>
      </c>
      <c r="R3" s="60" t="n"/>
    </row>
    <row r="4">
      <c r="A4" s="60" t="n">
        <v>103</v>
      </c>
      <c r="B4" s="60" t="inlineStr">
        <is>
          <t>1xx</t>
        </is>
      </c>
      <c r="C4" s="60" t="inlineStr">
        <is>
          <t>4WRD</t>
        </is>
      </c>
      <c r="D4" s="60" t="inlineStr">
        <is>
          <t>Thrust Face</t>
        </is>
      </c>
      <c r="E4" s="60" t="inlineStr">
        <is>
          <t>Thrust Face Tight</t>
        </is>
      </c>
      <c r="F4" s="60" t="inlineStr">
        <is>
          <t>FoH Centre</t>
        </is>
      </c>
      <c r="G4" s="60" t="inlineStr">
        <is>
          <t>Active</t>
        </is>
      </c>
      <c r="H4" s="60" t="inlineStr">
        <is>
          <t>ZLLU-B014</t>
        </is>
      </c>
      <c r="I4" s="60" t="n">
        <v>1</v>
      </c>
      <c r="J4" s="60" t="n"/>
      <c r="K4" s="60" t="n">
        <v>1</v>
      </c>
      <c r="L4" s="60" t="n">
        <v>-4</v>
      </c>
      <c r="M4" s="60" t="n">
        <v>-25</v>
      </c>
      <c r="N4" s="60" t="n">
        <v>26</v>
      </c>
      <c r="O4" s="60" t="n">
        <v>0</v>
      </c>
      <c r="P4" s="60" t="n">
        <v>-2</v>
      </c>
      <c r="Q4" s="60" t="n">
        <v>3</v>
      </c>
      <c r="R4" s="60" t="n"/>
    </row>
    <row r="5">
      <c r="A5" s="60" t="n">
        <v>105</v>
      </c>
      <c r="B5" s="60" t="inlineStr">
        <is>
          <t>1xx</t>
        </is>
      </c>
      <c r="C5" s="60" t="inlineStr">
        <is>
          <t>4WRD</t>
        </is>
      </c>
      <c r="D5" s="60" t="inlineStr">
        <is>
          <t>Thrust Face</t>
        </is>
      </c>
      <c r="E5" s="60" t="inlineStr">
        <is>
          <t>Thrust Face Tight</t>
        </is>
      </c>
      <c r="F5" s="60" t="inlineStr">
        <is>
          <t>FoH Centre</t>
        </is>
      </c>
      <c r="G5" s="60" t="inlineStr">
        <is>
          <t>Active</t>
        </is>
      </c>
      <c r="H5" s="60" t="inlineStr">
        <is>
          <t>ZLLU-B015</t>
        </is>
      </c>
      <c r="I5" s="60" t="n">
        <v>1</v>
      </c>
      <c r="J5" s="60" t="n"/>
      <c r="K5" s="60" t="n">
        <v>1</v>
      </c>
      <c r="L5" s="60" t="n">
        <v>4</v>
      </c>
      <c r="M5" s="60" t="n">
        <v>-25</v>
      </c>
      <c r="N5" s="60" t="n">
        <v>26</v>
      </c>
      <c r="O5" s="60" t="n">
        <v>0</v>
      </c>
      <c r="P5" s="60" t="n">
        <v>-2</v>
      </c>
      <c r="Q5" s="60" t="n">
        <v>5</v>
      </c>
      <c r="R5" s="60" t="n"/>
    </row>
    <row r="6">
      <c r="A6" s="60" t="n">
        <v>106</v>
      </c>
      <c r="B6" s="60" t="inlineStr">
        <is>
          <t>1xx</t>
        </is>
      </c>
      <c r="C6" s="60" t="inlineStr">
        <is>
          <t>4WRD</t>
        </is>
      </c>
      <c r="D6" s="60" t="inlineStr">
        <is>
          <t>Thrust Face</t>
        </is>
      </c>
      <c r="E6" s="60" t="inlineStr">
        <is>
          <t>Thrust Face SL</t>
        </is>
      </c>
      <c r="F6" s="60" t="inlineStr">
        <is>
          <t>FoH Centre</t>
        </is>
      </c>
      <c r="G6" s="60" t="inlineStr">
        <is>
          <t>Active</t>
        </is>
      </c>
      <c r="H6" s="60" t="inlineStr">
        <is>
          <t>ZLLU-B016</t>
        </is>
      </c>
      <c r="I6" s="60" t="n">
        <v>1</v>
      </c>
      <c r="J6" s="60" t="n"/>
      <c r="K6" s="60" t="n">
        <v>1</v>
      </c>
      <c r="L6" s="60" t="n">
        <v>7</v>
      </c>
      <c r="M6" s="60" t="n">
        <v>-25</v>
      </c>
      <c r="N6" s="60" t="n">
        <v>26</v>
      </c>
      <c r="O6" s="60" t="n">
        <v>0</v>
      </c>
      <c r="P6" s="60" t="n">
        <v>-2</v>
      </c>
      <c r="Q6" s="60" t="n">
        <v>6</v>
      </c>
      <c r="R6" s="60" t="n"/>
    </row>
    <row r="7">
      <c r="A7" s="60" t="n">
        <v>107</v>
      </c>
      <c r="B7" s="60" t="inlineStr">
        <is>
          <t>1xx</t>
        </is>
      </c>
      <c r="C7" s="60" t="inlineStr">
        <is>
          <t>4WRD</t>
        </is>
      </c>
      <c r="D7" s="60" t="inlineStr">
        <is>
          <t>Thrust Face</t>
        </is>
      </c>
      <c r="E7" s="60" t="inlineStr">
        <is>
          <t>Thrust Face Wide</t>
        </is>
      </c>
      <c r="F7" s="60" t="inlineStr">
        <is>
          <t>FoH Centre</t>
        </is>
      </c>
      <c r="G7" s="60" t="inlineStr">
        <is>
          <t>Active</t>
        </is>
      </c>
      <c r="H7" s="60" t="inlineStr">
        <is>
          <t>ZLLU-B017</t>
        </is>
      </c>
      <c r="I7" s="60" t="n">
        <v>1</v>
      </c>
      <c r="J7" s="60" t="n"/>
      <c r="K7" s="60" t="n">
        <v>1</v>
      </c>
      <c r="L7" s="60" t="n">
        <v>11</v>
      </c>
      <c r="M7" s="60" t="n">
        <v>-25</v>
      </c>
      <c r="N7" s="60" t="n">
        <v>26</v>
      </c>
      <c r="O7" s="60" t="n">
        <v>0</v>
      </c>
      <c r="P7" s="60" t="n">
        <v>-2</v>
      </c>
      <c r="Q7" s="60" t="n">
        <v>7</v>
      </c>
      <c r="R7" s="60" t="n"/>
    </row>
    <row r="8">
      <c r="A8" s="60" t="n">
        <v>104</v>
      </c>
      <c r="B8" s="60" t="inlineStr">
        <is>
          <t>1xx</t>
        </is>
      </c>
      <c r="C8" s="60" t="inlineStr">
        <is>
          <t>CSSpot</t>
        </is>
      </c>
      <c r="D8" s="60" t="inlineStr">
        <is>
          <t>Thrust Centre</t>
        </is>
      </c>
      <c r="E8" s="60" t="inlineStr">
        <is>
          <t>Thrust Colour Centre</t>
        </is>
      </c>
      <c r="F8" s="60" t="inlineStr">
        <is>
          <t>FoH Centre</t>
        </is>
      </c>
      <c r="G8" s="60" t="inlineStr">
        <is>
          <t>Active</t>
        </is>
      </c>
      <c r="H8" s="60" t="n"/>
      <c r="I8" s="60" t="n">
        <v>7</v>
      </c>
      <c r="J8" s="60" t="n"/>
      <c r="K8" s="60" t="n">
        <v>5</v>
      </c>
      <c r="L8" s="60" t="n">
        <v>0</v>
      </c>
      <c r="M8" s="60" t="n">
        <v>-25</v>
      </c>
      <c r="N8" s="60" t="n">
        <v>26</v>
      </c>
      <c r="O8" s="60" t="n">
        <v>0</v>
      </c>
      <c r="P8" s="60" t="n">
        <v>-2</v>
      </c>
      <c r="Q8" s="60" t="n">
        <v>4</v>
      </c>
      <c r="R8" s="60" t="inlineStr">
        <is>
          <t>Tag one of ZLLU-B018..B024 (FoH Bar)</t>
        </is>
      </c>
    </row>
    <row r="9">
      <c r="A9" s="60" t="n">
        <v>108</v>
      </c>
      <c r="B9" s="60" t="inlineStr">
        <is>
          <t>1xx</t>
        </is>
      </c>
      <c r="C9" s="60" t="inlineStr">
        <is>
          <t>CSPar</t>
        </is>
      </c>
      <c r="D9" s="60" t="inlineStr">
        <is>
          <t>Stage Wash</t>
        </is>
      </c>
      <c r="E9" s="60" t="inlineStr">
        <is>
          <t>SR Far - Band</t>
        </is>
      </c>
      <c r="F9" s="60" t="inlineStr">
        <is>
          <t>FoH East</t>
        </is>
      </c>
      <c r="G9" s="60" t="inlineStr">
        <is>
          <t>Active</t>
        </is>
      </c>
      <c r="H9" s="60" t="n"/>
      <c r="I9" s="60" t="n">
        <v>1</v>
      </c>
      <c r="J9" s="60" t="n"/>
      <c r="K9" s="60" t="n">
        <v>5</v>
      </c>
      <c r="L9" s="60" t="n">
        <v>-21</v>
      </c>
      <c r="M9" s="60" t="n">
        <v>-20</v>
      </c>
      <c r="N9" s="60" t="n">
        <v>26</v>
      </c>
      <c r="O9" s="60" t="n">
        <v>0</v>
      </c>
      <c r="P9" s="60" t="n">
        <v>-2</v>
      </c>
      <c r="Q9" s="60" t="n">
        <v>8</v>
      </c>
      <c r="R9" s="60" t="inlineStr">
        <is>
          <t>Tag one of ZLLU-A031..A037, ZLLU-B008..B011, ZLLU-B001..B007</t>
        </is>
      </c>
    </row>
    <row r="10">
      <c r="A10" s="60" t="n">
        <v>109</v>
      </c>
      <c r="B10" s="60" t="inlineStr">
        <is>
          <t>1xx</t>
        </is>
      </c>
      <c r="C10" s="60" t="inlineStr">
        <is>
          <t>CSPar</t>
        </is>
      </c>
      <c r="D10" s="60" t="inlineStr">
        <is>
          <t>Stage Wash</t>
        </is>
      </c>
      <c r="E10" s="60" t="inlineStr">
        <is>
          <t>C SR</t>
        </is>
      </c>
      <c r="F10" s="60" t="inlineStr">
        <is>
          <t>FoH East</t>
        </is>
      </c>
      <c r="G10" s="60" t="inlineStr">
        <is>
          <t>Active</t>
        </is>
      </c>
      <c r="H10" s="60" t="n"/>
      <c r="I10" s="60" t="n">
        <v>1</v>
      </c>
      <c r="J10" s="60" t="n"/>
      <c r="K10" s="60" t="n">
        <v>5</v>
      </c>
      <c r="L10" s="60" t="n">
        <v>-18</v>
      </c>
      <c r="M10" s="60" t="n">
        <v>-20</v>
      </c>
      <c r="N10" s="60" t="n">
        <v>26</v>
      </c>
      <c r="O10" s="60" t="n">
        <v>0</v>
      </c>
      <c r="P10" s="60" t="n">
        <v>2</v>
      </c>
      <c r="Q10" s="60" t="n">
        <v>9</v>
      </c>
      <c r="R10" s="60" t="inlineStr">
        <is>
          <t>Tag one of ZLLU-A031..A037, ZLLU-B008..B011, ZLLU-B001..B007</t>
        </is>
      </c>
    </row>
    <row r="11">
      <c r="A11" s="60" t="n">
        <v>116</v>
      </c>
      <c r="B11" s="60" t="inlineStr">
        <is>
          <t>1xx</t>
        </is>
      </c>
      <c r="C11" s="60" t="inlineStr">
        <is>
          <t>CSPar</t>
        </is>
      </c>
      <c r="D11" s="60" t="inlineStr">
        <is>
          <t>Stage Wash</t>
        </is>
      </c>
      <c r="E11" s="60" t="inlineStr">
        <is>
          <t>C SL</t>
        </is>
      </c>
      <c r="F11" s="60" t="inlineStr">
        <is>
          <t>FoH West</t>
        </is>
      </c>
      <c r="G11" s="60" t="inlineStr">
        <is>
          <t>Active</t>
        </is>
      </c>
      <c r="H11" s="60" t="n"/>
      <c r="I11" s="60" t="n">
        <v>1</v>
      </c>
      <c r="J11" s="60" t="n"/>
      <c r="K11" s="60" t="n">
        <v>5</v>
      </c>
      <c r="L11" s="60" t="n">
        <v>18</v>
      </c>
      <c r="M11" s="60" t="n">
        <v>-20</v>
      </c>
      <c r="N11" s="60" t="n">
        <v>26</v>
      </c>
      <c r="O11" s="60" t="n">
        <v>0</v>
      </c>
      <c r="P11" s="60" t="n">
        <v>2</v>
      </c>
      <c r="Q11" s="60" t="n">
        <v>16</v>
      </c>
      <c r="R11" s="60" t="inlineStr">
        <is>
          <t>Tag one of ZLLU-A031..A037, ZLLU-B008..B011, ZLLU-B001..B007</t>
        </is>
      </c>
    </row>
    <row r="12">
      <c r="A12" s="60" t="n">
        <v>117</v>
      </c>
      <c r="B12" s="60" t="inlineStr">
        <is>
          <t>1xx</t>
        </is>
      </c>
      <c r="C12" s="60" t="inlineStr">
        <is>
          <t>CSPar</t>
        </is>
      </c>
      <c r="D12" s="60" t="inlineStr">
        <is>
          <t>Stage Wash</t>
        </is>
      </c>
      <c r="E12" s="60" t="inlineStr">
        <is>
          <t>SL Far</t>
        </is>
      </c>
      <c r="F12" s="60" t="inlineStr">
        <is>
          <t>FoH West</t>
        </is>
      </c>
      <c r="G12" s="60" t="inlineStr">
        <is>
          <t>Active</t>
        </is>
      </c>
      <c r="H12" s="60" t="n"/>
      <c r="I12" s="60" t="n">
        <v>1</v>
      </c>
      <c r="J12" s="60" t="n"/>
      <c r="K12" s="60" t="n">
        <v>5</v>
      </c>
      <c r="L12" s="60" t="n">
        <v>21</v>
      </c>
      <c r="M12" s="60" t="n">
        <v>-20</v>
      </c>
      <c r="N12" s="60" t="n">
        <v>26</v>
      </c>
      <c r="O12" s="60" t="n">
        <v>0</v>
      </c>
      <c r="P12" s="60" t="n">
        <v>-2</v>
      </c>
      <c r="Q12" s="60" t="n">
        <v>17</v>
      </c>
      <c r="R12" s="60" t="inlineStr">
        <is>
          <t>Tag one of ZLLU-A031..A037, ZLLU-B008..B011, ZLLU-B001..B007</t>
        </is>
      </c>
    </row>
    <row r="13">
      <c r="A13" s="60" t="n">
        <v>110</v>
      </c>
      <c r="B13" s="60" t="inlineStr">
        <is>
          <t>1xx</t>
        </is>
      </c>
      <c r="C13" s="60" t="inlineStr">
        <is>
          <t>CSSpot</t>
        </is>
      </c>
      <c r="D13" s="60" t="inlineStr">
        <is>
          <t>Vocal Face</t>
        </is>
      </c>
      <c r="E13" s="60" t="inlineStr">
        <is>
          <t>Band</t>
        </is>
      </c>
      <c r="F13" s="60" t="inlineStr">
        <is>
          <t>FoH East</t>
        </is>
      </c>
      <c r="G13" s="60" t="inlineStr">
        <is>
          <t>Active</t>
        </is>
      </c>
      <c r="H13" s="60" t="inlineStr">
        <is>
          <t>ZLLU-B018</t>
        </is>
      </c>
      <c r="I13" s="60" t="n">
        <v>7</v>
      </c>
      <c r="J13" s="60" t="n"/>
      <c r="K13" s="60" t="n">
        <v>5</v>
      </c>
      <c r="L13" s="60" t="n">
        <v>-15</v>
      </c>
      <c r="M13" s="60" t="n">
        <v>-20</v>
      </c>
      <c r="N13" s="60" t="n">
        <v>26</v>
      </c>
      <c r="O13" s="60" t="n">
        <v>0</v>
      </c>
      <c r="P13" s="60" t="n">
        <v>-2</v>
      </c>
      <c r="Q13" s="60" t="n">
        <v>10</v>
      </c>
      <c r="R13" s="60" t="n"/>
    </row>
    <row r="14">
      <c r="A14" s="60" t="n">
        <v>111</v>
      </c>
      <c r="B14" s="60" t="inlineStr">
        <is>
          <t>1xx</t>
        </is>
      </c>
      <c r="C14" s="60" t="inlineStr">
        <is>
          <t>CSSpot</t>
        </is>
      </c>
      <c r="D14" s="60" t="inlineStr">
        <is>
          <t>Vocal Face</t>
        </is>
      </c>
      <c r="E14" s="60" t="inlineStr">
        <is>
          <t>SR Mid</t>
        </is>
      </c>
      <c r="F14" s="60" t="inlineStr">
        <is>
          <t>FoH East</t>
        </is>
      </c>
      <c r="G14" s="60" t="inlineStr">
        <is>
          <t>Active</t>
        </is>
      </c>
      <c r="H14" s="60" t="inlineStr">
        <is>
          <t>ZLLU-B019</t>
        </is>
      </c>
      <c r="I14" s="60" t="n">
        <v>7</v>
      </c>
      <c r="J14" s="60" t="n"/>
      <c r="K14" s="60" t="n">
        <v>5</v>
      </c>
      <c r="L14" s="60" t="n">
        <v>-12</v>
      </c>
      <c r="M14" s="60" t="n">
        <v>-20</v>
      </c>
      <c r="N14" s="60" t="n">
        <v>26</v>
      </c>
      <c r="O14" s="60" t="n">
        <v>0</v>
      </c>
      <c r="P14" s="60" t="n">
        <v>2</v>
      </c>
      <c r="Q14" s="60" t="n">
        <v>11</v>
      </c>
      <c r="R14" s="60" t="n"/>
    </row>
    <row r="15">
      <c r="A15" s="60" t="n">
        <v>112</v>
      </c>
      <c r="B15" s="60" t="inlineStr">
        <is>
          <t>1xx</t>
        </is>
      </c>
      <c r="C15" s="60" t="inlineStr">
        <is>
          <t>CSSpot</t>
        </is>
      </c>
      <c r="D15" s="60" t="inlineStr">
        <is>
          <t>Vocal Face</t>
        </is>
      </c>
      <c r="E15" s="60" t="inlineStr">
        <is>
          <t>SR Vocal</t>
        </is>
      </c>
      <c r="F15" s="60" t="inlineStr">
        <is>
          <t>FoH East</t>
        </is>
      </c>
      <c r="G15" s="60" t="inlineStr">
        <is>
          <t>Active</t>
        </is>
      </c>
      <c r="H15" s="60" t="inlineStr">
        <is>
          <t>ZLLU-B020</t>
        </is>
      </c>
      <c r="I15" s="60" t="n">
        <v>7</v>
      </c>
      <c r="J15" s="60" t="n"/>
      <c r="K15" s="60" t="n">
        <v>5</v>
      </c>
      <c r="L15" s="60" t="n">
        <v>-9</v>
      </c>
      <c r="M15" s="60" t="n">
        <v>-20</v>
      </c>
      <c r="N15" s="60" t="n">
        <v>26</v>
      </c>
      <c r="O15" s="60" t="n">
        <v>0</v>
      </c>
      <c r="P15" s="60" t="n">
        <v>-2</v>
      </c>
      <c r="Q15" s="60" t="n">
        <v>12</v>
      </c>
      <c r="R15" s="60" t="n"/>
    </row>
    <row r="16">
      <c r="A16" s="60" t="n">
        <v>113</v>
      </c>
      <c r="B16" s="60" t="inlineStr">
        <is>
          <t>1xx</t>
        </is>
      </c>
      <c r="C16" s="60" t="inlineStr">
        <is>
          <t>CSSpot</t>
        </is>
      </c>
      <c r="D16" s="60" t="inlineStr">
        <is>
          <t>Vocal Face</t>
        </is>
      </c>
      <c r="E16" s="60" t="inlineStr">
        <is>
          <t>SL Bleacher</t>
        </is>
      </c>
      <c r="F16" s="60" t="inlineStr">
        <is>
          <t>FoH West</t>
        </is>
      </c>
      <c r="G16" s="60" t="inlineStr">
        <is>
          <t>Active</t>
        </is>
      </c>
      <c r="H16" s="60" t="n"/>
      <c r="I16" s="60" t="n">
        <v>7</v>
      </c>
      <c r="J16" s="60" t="n"/>
      <c r="K16" s="60" t="n">
        <v>5</v>
      </c>
      <c r="L16" s="60" t="n">
        <v>9</v>
      </c>
      <c r="M16" s="60" t="n">
        <v>-20</v>
      </c>
      <c r="N16" s="60" t="n">
        <v>26</v>
      </c>
      <c r="O16" s="60" t="n">
        <v>0</v>
      </c>
      <c r="P16" s="60" t="n">
        <v>-2</v>
      </c>
      <c r="Q16" s="60" t="n">
        <v>13</v>
      </c>
      <c r="R16" s="60" t="inlineStr">
        <is>
          <t>Tag one of ZLLU-B018..B024 (FoH Bar)</t>
        </is>
      </c>
    </row>
    <row r="17">
      <c r="A17" s="60" t="n">
        <v>114</v>
      </c>
      <c r="B17" s="60" t="inlineStr">
        <is>
          <t>1xx</t>
        </is>
      </c>
      <c r="C17" s="60" t="inlineStr">
        <is>
          <t>CSSpot</t>
        </is>
      </c>
      <c r="D17" s="60" t="inlineStr">
        <is>
          <t>Vocal Face</t>
        </is>
      </c>
      <c r="E17" s="60" t="inlineStr">
        <is>
          <t>SL Vocal</t>
        </is>
      </c>
      <c r="F17" s="60" t="inlineStr">
        <is>
          <t>FoH West</t>
        </is>
      </c>
      <c r="G17" s="60" t="inlineStr">
        <is>
          <t>Active</t>
        </is>
      </c>
      <c r="H17" s="60" t="n"/>
      <c r="I17" s="60" t="n">
        <v>7</v>
      </c>
      <c r="J17" s="60" t="n"/>
      <c r="K17" s="60" t="n">
        <v>5</v>
      </c>
      <c r="L17" s="60" t="n">
        <v>12</v>
      </c>
      <c r="M17" s="60" t="n">
        <v>-20</v>
      </c>
      <c r="N17" s="60" t="n">
        <v>26</v>
      </c>
      <c r="O17" s="60" t="n">
        <v>0</v>
      </c>
      <c r="P17" s="60" t="n">
        <v>2</v>
      </c>
      <c r="Q17" s="60" t="n">
        <v>14</v>
      </c>
      <c r="R17" s="60" t="inlineStr">
        <is>
          <t>Tag one of ZLLU-B018..B024 (FoH Bar)</t>
        </is>
      </c>
    </row>
    <row r="18">
      <c r="A18" s="60" t="n">
        <v>115</v>
      </c>
      <c r="B18" s="60" t="inlineStr">
        <is>
          <t>1xx</t>
        </is>
      </c>
      <c r="C18" s="60" t="inlineStr">
        <is>
          <t>CSSpot</t>
        </is>
      </c>
      <c r="D18" s="60" t="inlineStr">
        <is>
          <t>Vocal Face</t>
        </is>
      </c>
      <c r="E18" s="60" t="inlineStr">
        <is>
          <t>SL Far</t>
        </is>
      </c>
      <c r="F18" s="60" t="inlineStr">
        <is>
          <t>FoH West</t>
        </is>
      </c>
      <c r="G18" s="60" t="inlineStr">
        <is>
          <t>Active</t>
        </is>
      </c>
      <c r="H18" s="60" t="n"/>
      <c r="I18" s="60" t="n">
        <v>7</v>
      </c>
      <c r="J18" s="60" t="n"/>
      <c r="K18" s="60" t="n">
        <v>5</v>
      </c>
      <c r="L18" s="60" t="n">
        <v>15</v>
      </c>
      <c r="M18" s="60" t="n">
        <v>-20</v>
      </c>
      <c r="N18" s="60" t="n">
        <v>26</v>
      </c>
      <c r="O18" s="60" t="n">
        <v>0</v>
      </c>
      <c r="P18" s="60" t="n">
        <v>-2</v>
      </c>
      <c r="Q18" s="60" t="n">
        <v>15</v>
      </c>
      <c r="R18" s="60" t="inlineStr">
        <is>
          <t>Tag one of ZLLU-B018..B024 (FoH Bar)</t>
        </is>
      </c>
    </row>
    <row r="19">
      <c r="A19" s="60" t="n">
        <v>118</v>
      </c>
      <c r="B19" s="60" t="inlineStr">
        <is>
          <t>1xx</t>
        </is>
      </c>
      <c r="C19" s="60" t="inlineStr">
        <is>
          <t>CSPar</t>
        </is>
      </c>
      <c r="D19" s="60" t="inlineStr">
        <is>
          <t>Thrust Side</t>
        </is>
      </c>
      <c r="E19" s="60" t="inlineStr">
        <is>
          <t>Thrust Wash</t>
        </is>
      </c>
      <c r="F19" s="60" t="inlineStr">
        <is>
          <t>Speaker</t>
        </is>
      </c>
      <c r="G19" s="60" t="inlineStr">
        <is>
          <t>Active</t>
        </is>
      </c>
      <c r="H19" s="60" t="n"/>
      <c r="I19" s="60" t="n">
        <v>1</v>
      </c>
      <c r="J19" s="60" t="n"/>
      <c r="K19" s="60" t="n">
        <v>5</v>
      </c>
      <c r="L19" s="60" t="n">
        <v>-9</v>
      </c>
      <c r="M19" s="60" t="n">
        <v>-6</v>
      </c>
      <c r="N19" s="60" t="n">
        <v>24</v>
      </c>
      <c r="O19" s="60" t="n">
        <v>0</v>
      </c>
      <c r="P19" s="60" t="n">
        <v>-2</v>
      </c>
      <c r="Q19" s="60" t="n">
        <v>18</v>
      </c>
      <c r="R19" s="60" t="inlineStr">
        <is>
          <t>Tag one of ZLLU-A031..A037, ZLLU-B008..B011, ZLLU-B001..B007</t>
        </is>
      </c>
    </row>
    <row r="20">
      <c r="A20" s="60" t="n">
        <v>119</v>
      </c>
      <c r="B20" s="60" t="inlineStr">
        <is>
          <t>1xx</t>
        </is>
      </c>
      <c r="C20" s="60" t="inlineStr">
        <is>
          <t>CSPar</t>
        </is>
      </c>
      <c r="D20" s="60" t="inlineStr">
        <is>
          <t>Thrust Side</t>
        </is>
      </c>
      <c r="E20" s="60" t="inlineStr">
        <is>
          <t>Thrust Wash</t>
        </is>
      </c>
      <c r="F20" s="60" t="inlineStr">
        <is>
          <t>Speaker</t>
        </is>
      </c>
      <c r="G20" s="60" t="inlineStr">
        <is>
          <t>Active</t>
        </is>
      </c>
      <c r="H20" s="60" t="n"/>
      <c r="I20" s="60" t="n">
        <v>1</v>
      </c>
      <c r="J20" s="60" t="n"/>
      <c r="K20" s="60" t="n">
        <v>5</v>
      </c>
      <c r="L20" s="60" t="n">
        <v>9</v>
      </c>
      <c r="M20" s="60" t="n">
        <v>-6</v>
      </c>
      <c r="N20" s="60" t="n">
        <v>24</v>
      </c>
      <c r="O20" s="60" t="n">
        <v>0</v>
      </c>
      <c r="P20" s="60" t="n">
        <v>-2</v>
      </c>
      <c r="Q20" s="60" t="n">
        <v>19</v>
      </c>
      <c r="R20" s="60" t="inlineStr">
        <is>
          <t>Tag one of ZLLU-A031..A037, ZLLU-B008..B011, ZLLU-B001..B007</t>
        </is>
      </c>
    </row>
    <row r="21">
      <c r="A21" s="60" t="n">
        <v>120</v>
      </c>
      <c r="B21" s="60" t="inlineStr">
        <is>
          <t>1xx</t>
        </is>
      </c>
      <c r="C21" s="60" t="inlineStr">
        <is>
          <t>CSPar</t>
        </is>
      </c>
      <c r="D21" s="60" t="inlineStr">
        <is>
          <t>Vocal Ovr</t>
        </is>
      </c>
      <c r="E21" s="60" t="inlineStr">
        <is>
          <t>SR</t>
        </is>
      </c>
      <c r="F21" s="60" t="inlineStr">
        <is>
          <t>Top Bar</t>
        </is>
      </c>
      <c r="G21" s="60" t="inlineStr">
        <is>
          <t>Active</t>
        </is>
      </c>
      <c r="H21" s="60" t="n"/>
      <c r="I21" s="60" t="n">
        <v>6</v>
      </c>
      <c r="J21" s="60" t="n"/>
      <c r="K21" s="60" t="n">
        <v>5</v>
      </c>
      <c r="L21" s="60" t="n">
        <v>-14</v>
      </c>
      <c r="M21" s="60" t="n">
        <v>10</v>
      </c>
      <c r="N21" s="60" t="n">
        <v>18</v>
      </c>
      <c r="O21" s="60" t="n">
        <v>0</v>
      </c>
      <c r="P21" s="60" t="n">
        <v>-2</v>
      </c>
      <c r="Q21" s="60" t="n">
        <v>20</v>
      </c>
      <c r="R21" s="60" t="inlineStr">
        <is>
          <t>Tag one of ZLLU-A031..A037, ZLLU-B008..B011, ZLLU-B001..B007</t>
        </is>
      </c>
    </row>
    <row r="22">
      <c r="A22" s="60" t="n">
        <v>121</v>
      </c>
      <c r="B22" s="60" t="inlineStr">
        <is>
          <t>1xx</t>
        </is>
      </c>
      <c r="C22" s="60" t="inlineStr">
        <is>
          <t>CSPar</t>
        </is>
      </c>
      <c r="D22" s="60" t="inlineStr">
        <is>
          <t>Vocal Ovr</t>
        </is>
      </c>
      <c r="E22" s="60" t="inlineStr">
        <is>
          <t>SR</t>
        </is>
      </c>
      <c r="F22" s="60" t="inlineStr">
        <is>
          <t>Top Bar</t>
        </is>
      </c>
      <c r="G22" s="60" t="inlineStr">
        <is>
          <t>Active</t>
        </is>
      </c>
      <c r="H22" s="60" t="n"/>
      <c r="I22" s="60" t="n">
        <v>6</v>
      </c>
      <c r="J22" s="60" t="n"/>
      <c r="K22" s="60" t="n">
        <v>5</v>
      </c>
      <c r="L22" s="60" t="n">
        <v>-9</v>
      </c>
      <c r="M22" s="60" t="n">
        <v>10</v>
      </c>
      <c r="N22" s="60" t="n">
        <v>18</v>
      </c>
      <c r="O22" s="60" t="n">
        <v>0</v>
      </c>
      <c r="P22" s="60" t="n">
        <v>2</v>
      </c>
      <c r="Q22" s="60" t="n">
        <v>21</v>
      </c>
      <c r="R22" s="60" t="inlineStr">
        <is>
          <t>Tag one of ZLLU-A031..A037, ZLLU-B008..B011, ZLLU-B001..B007</t>
        </is>
      </c>
    </row>
    <row r="23">
      <c r="A23" s="60" t="n">
        <v>122</v>
      </c>
      <c r="B23" s="60" t="inlineStr">
        <is>
          <t>1xx</t>
        </is>
      </c>
      <c r="C23" s="60" t="inlineStr">
        <is>
          <t>CSPar</t>
        </is>
      </c>
      <c r="D23" s="60" t="inlineStr">
        <is>
          <t>Vocal Ovr</t>
        </is>
      </c>
      <c r="E23" s="60" t="inlineStr">
        <is>
          <t>SR</t>
        </is>
      </c>
      <c r="F23" s="60" t="inlineStr">
        <is>
          <t>Top Bar</t>
        </is>
      </c>
      <c r="G23" s="60" t="inlineStr">
        <is>
          <t>Active</t>
        </is>
      </c>
      <c r="H23" s="60" t="n"/>
      <c r="I23" s="60" t="n">
        <v>6</v>
      </c>
      <c r="J23" s="60" t="n"/>
      <c r="K23" s="60" t="n">
        <v>5</v>
      </c>
      <c r="L23" s="60" t="n">
        <v>-5</v>
      </c>
      <c r="M23" s="60" t="n">
        <v>10</v>
      </c>
      <c r="N23" s="60" t="n">
        <v>18</v>
      </c>
      <c r="O23" s="60" t="n">
        <v>0</v>
      </c>
      <c r="P23" s="60" t="n">
        <v>-2</v>
      </c>
      <c r="Q23" s="60" t="n">
        <v>22</v>
      </c>
      <c r="R23" s="60" t="inlineStr">
        <is>
          <t>Tag one of ZLLU-A031..A037, ZLLU-B008..B011, ZLLU-B001..B007</t>
        </is>
      </c>
    </row>
    <row r="24">
      <c r="A24" s="60" t="n">
        <v>124</v>
      </c>
      <c r="B24" s="60" t="inlineStr">
        <is>
          <t>1xx</t>
        </is>
      </c>
      <c r="C24" s="60" t="inlineStr">
        <is>
          <t>CSPar</t>
        </is>
      </c>
      <c r="D24" s="60" t="inlineStr">
        <is>
          <t>Vocal Ovr</t>
        </is>
      </c>
      <c r="E24" s="60" t="inlineStr">
        <is>
          <t>SL</t>
        </is>
      </c>
      <c r="F24" s="60" t="inlineStr">
        <is>
          <t>Top Bar</t>
        </is>
      </c>
      <c r="G24" s="60" t="inlineStr">
        <is>
          <t>Active</t>
        </is>
      </c>
      <c r="H24" s="60" t="n"/>
      <c r="I24" s="60" t="n">
        <v>6</v>
      </c>
      <c r="J24" s="60" t="n"/>
      <c r="K24" s="60" t="n">
        <v>5</v>
      </c>
      <c r="L24" s="60" t="n">
        <v>5</v>
      </c>
      <c r="M24" s="60" t="n">
        <v>10</v>
      </c>
      <c r="N24" s="60" t="n">
        <v>18</v>
      </c>
      <c r="O24" s="60" t="n">
        <v>0</v>
      </c>
      <c r="P24" s="60" t="n">
        <v>-2</v>
      </c>
      <c r="Q24" s="60" t="n">
        <v>24</v>
      </c>
      <c r="R24" s="60" t="inlineStr">
        <is>
          <t>Tag one of ZLLU-A031..A037, ZLLU-B008..B011, ZLLU-B001..B007</t>
        </is>
      </c>
    </row>
    <row r="25">
      <c r="A25" s="60" t="n">
        <v>125</v>
      </c>
      <c r="B25" s="60" t="inlineStr">
        <is>
          <t>1xx</t>
        </is>
      </c>
      <c r="C25" s="60" t="inlineStr">
        <is>
          <t>CSPar</t>
        </is>
      </c>
      <c r="D25" s="60" t="inlineStr">
        <is>
          <t>Vocal Ovr</t>
        </is>
      </c>
      <c r="E25" s="60" t="inlineStr">
        <is>
          <t>SL</t>
        </is>
      </c>
      <c r="F25" s="60" t="inlineStr">
        <is>
          <t>Top Bar</t>
        </is>
      </c>
      <c r="G25" s="60" t="inlineStr">
        <is>
          <t>Active</t>
        </is>
      </c>
      <c r="H25" s="60" t="n"/>
      <c r="I25" s="60" t="n">
        <v>6</v>
      </c>
      <c r="J25" s="60" t="n"/>
      <c r="K25" s="60" t="n">
        <v>5</v>
      </c>
      <c r="L25" s="60" t="n">
        <v>9</v>
      </c>
      <c r="M25" s="60" t="n">
        <v>10</v>
      </c>
      <c r="N25" s="60" t="n">
        <v>18</v>
      </c>
      <c r="O25" s="60" t="n">
        <v>0</v>
      </c>
      <c r="P25" s="60" t="n">
        <v>2</v>
      </c>
      <c r="Q25" s="60" t="n">
        <v>25</v>
      </c>
      <c r="R25" s="60" t="inlineStr">
        <is>
          <t>Tag one of ZLLU-A031..A037, ZLLU-B008..B011, ZLLU-B001..B007</t>
        </is>
      </c>
    </row>
    <row r="26">
      <c r="A26" s="60" t="n">
        <v>126</v>
      </c>
      <c r="B26" s="60" t="inlineStr">
        <is>
          <t>1xx</t>
        </is>
      </c>
      <c r="C26" s="60" t="inlineStr">
        <is>
          <t>CSPar</t>
        </is>
      </c>
      <c r="D26" s="60" t="inlineStr">
        <is>
          <t>Vocal Ovr</t>
        </is>
      </c>
      <c r="E26" s="60" t="inlineStr">
        <is>
          <t>SL</t>
        </is>
      </c>
      <c r="F26" s="60" t="inlineStr">
        <is>
          <t>Top Bar</t>
        </is>
      </c>
      <c r="G26" s="60" t="inlineStr">
        <is>
          <t>Active</t>
        </is>
      </c>
      <c r="H26" s="60" t="n"/>
      <c r="I26" s="60" t="n">
        <v>6</v>
      </c>
      <c r="J26" s="60" t="n"/>
      <c r="K26" s="60" t="n">
        <v>5</v>
      </c>
      <c r="L26" s="60" t="n">
        <v>14</v>
      </c>
      <c r="M26" s="60" t="n">
        <v>10</v>
      </c>
      <c r="N26" s="60" t="n">
        <v>18</v>
      </c>
      <c r="O26" s="60" t="n">
        <v>0</v>
      </c>
      <c r="P26" s="60" t="n">
        <v>-2</v>
      </c>
      <c r="Q26" s="60" t="n">
        <v>26</v>
      </c>
      <c r="R26" s="60" t="inlineStr">
        <is>
          <t>Tag one of ZLLU-A031..A037, ZLLU-B008..B011, ZLLU-B001..B007</t>
        </is>
      </c>
    </row>
    <row r="27">
      <c r="A27" s="60" t="n">
        <v>123</v>
      </c>
      <c r="B27" s="60" t="inlineStr">
        <is>
          <t>1xx</t>
        </is>
      </c>
      <c r="C27" s="60" t="inlineStr">
        <is>
          <t>CSPar</t>
        </is>
      </c>
      <c r="D27" s="60" t="inlineStr">
        <is>
          <t>Thrust Rear</t>
        </is>
      </c>
      <c r="E27" s="60" t="inlineStr">
        <is>
          <t>Thrust Back Wash</t>
        </is>
      </c>
      <c r="F27" s="60" t="inlineStr">
        <is>
          <t>Top Bar</t>
        </is>
      </c>
      <c r="G27" s="60" t="inlineStr">
        <is>
          <t>Active</t>
        </is>
      </c>
      <c r="H27" s="60" t="n"/>
      <c r="I27" s="60" t="n">
        <v>6</v>
      </c>
      <c r="J27" s="60" t="n"/>
      <c r="K27" s="60" t="n">
        <v>5</v>
      </c>
      <c r="L27" s="60" t="n">
        <v>0</v>
      </c>
      <c r="M27" s="60" t="n">
        <v>10</v>
      </c>
      <c r="N27" s="60" t="n">
        <v>18</v>
      </c>
      <c r="O27" s="60" t="n">
        <v>0</v>
      </c>
      <c r="P27" s="60" t="n">
        <v>-2</v>
      </c>
      <c r="Q27" s="60" t="n">
        <v>23</v>
      </c>
      <c r="R27" s="60" t="inlineStr">
        <is>
          <t>CSPar per Terry 2026-10-02 (qmd had CSSpot). Tag one of ZLLU-A031..A037, ZLLU-B008..B011, ZLLU-B001..B007</t>
        </is>
      </c>
    </row>
    <row r="28">
      <c r="A28" s="60" t="n">
        <v>134</v>
      </c>
      <c r="B28" s="60" t="inlineStr">
        <is>
          <t>1xx</t>
        </is>
      </c>
      <c r="C28" s="60" t="inlineStr">
        <is>
          <t>CSPar</t>
        </is>
      </c>
      <c r="D28" s="60" t="inlineStr">
        <is>
          <t>Floor Pars</t>
        </is>
      </c>
      <c r="E28" s="60" t="inlineStr">
        <is>
          <t>Flares</t>
        </is>
      </c>
      <c r="F28" s="60" t="inlineStr">
        <is>
          <t>Floor</t>
        </is>
      </c>
      <c r="G28" s="60" t="inlineStr">
        <is>
          <t>Active</t>
        </is>
      </c>
      <c r="H28" s="60" t="n"/>
      <c r="I28" s="60" t="n">
        <v>3</v>
      </c>
      <c r="J28" s="60" t="n"/>
      <c r="K28" s="60" t="n">
        <v>5</v>
      </c>
      <c r="L28" s="60" t="n">
        <v>-14</v>
      </c>
      <c r="M28" s="60" t="n">
        <v>22</v>
      </c>
      <c r="N28" s="60" t="n">
        <v>8</v>
      </c>
      <c r="O28" s="60" t="n">
        <v>0</v>
      </c>
      <c r="P28" s="60" t="n">
        <v>-2</v>
      </c>
      <c r="Q28" s="60" t="n">
        <v>34</v>
      </c>
      <c r="R28" s="60" t="inlineStr">
        <is>
          <t>Tag one of ZLLU-A031..A037, ZLLU-B008..B011, ZLLU-B001..B007</t>
        </is>
      </c>
    </row>
    <row r="29">
      <c r="A29" s="60" t="n">
        <v>135</v>
      </c>
      <c r="B29" s="60" t="inlineStr">
        <is>
          <t>1xx</t>
        </is>
      </c>
      <c r="C29" s="60" t="inlineStr">
        <is>
          <t>CSPar</t>
        </is>
      </c>
      <c r="D29" s="60" t="inlineStr">
        <is>
          <t>Floor Pars</t>
        </is>
      </c>
      <c r="E29" s="60" t="inlineStr">
        <is>
          <t>Flares</t>
        </is>
      </c>
      <c r="F29" s="60" t="inlineStr">
        <is>
          <t>Floor</t>
        </is>
      </c>
      <c r="G29" s="60" t="inlineStr">
        <is>
          <t>Active</t>
        </is>
      </c>
      <c r="H29" s="60" t="n"/>
      <c r="I29" s="60" t="n">
        <v>3</v>
      </c>
      <c r="J29" s="60" t="n"/>
      <c r="K29" s="60" t="n">
        <v>5</v>
      </c>
      <c r="L29" s="60" t="n">
        <v>-10</v>
      </c>
      <c r="M29" s="60" t="n">
        <v>24</v>
      </c>
      <c r="N29" s="60" t="n">
        <v>8</v>
      </c>
      <c r="O29" s="60" t="n">
        <v>0</v>
      </c>
      <c r="P29" s="60" t="n">
        <v>-2</v>
      </c>
      <c r="Q29" s="60" t="n">
        <v>35</v>
      </c>
      <c r="R29" s="60" t="inlineStr">
        <is>
          <t>Tag one of ZLLU-A031..A037, ZLLU-B008..B011, ZLLU-B001..B007</t>
        </is>
      </c>
    </row>
    <row r="30">
      <c r="A30" s="60" t="n">
        <v>136</v>
      </c>
      <c r="B30" s="60" t="inlineStr">
        <is>
          <t>1xx</t>
        </is>
      </c>
      <c r="C30" s="60" t="inlineStr">
        <is>
          <t>CSPar</t>
        </is>
      </c>
      <c r="D30" s="60" t="inlineStr">
        <is>
          <t>Floor Pars</t>
        </is>
      </c>
      <c r="E30" s="60" t="inlineStr">
        <is>
          <t>Flares</t>
        </is>
      </c>
      <c r="F30" s="60" t="inlineStr">
        <is>
          <t>Floor</t>
        </is>
      </c>
      <c r="G30" s="60" t="inlineStr">
        <is>
          <t>Active</t>
        </is>
      </c>
      <c r="H30" s="60" t="n"/>
      <c r="I30" s="60" t="n">
        <v>3</v>
      </c>
      <c r="J30" s="60" t="n"/>
      <c r="K30" s="60" t="n">
        <v>5</v>
      </c>
      <c r="L30" s="60" t="n">
        <v>-6</v>
      </c>
      <c r="M30" s="60" t="n">
        <v>26</v>
      </c>
      <c r="N30" s="60" t="n">
        <v>8</v>
      </c>
      <c r="O30" s="60" t="n">
        <v>0</v>
      </c>
      <c r="P30" s="60" t="n">
        <v>-2</v>
      </c>
      <c r="Q30" s="60" t="n">
        <v>36</v>
      </c>
      <c r="R30" s="60" t="inlineStr">
        <is>
          <t>Tag one of ZLLU-A031..A037, ZLLU-B008..B011, ZLLU-B001..B007</t>
        </is>
      </c>
    </row>
    <row r="31">
      <c r="A31" s="60" t="n">
        <v>137</v>
      </c>
      <c r="B31" s="60" t="inlineStr">
        <is>
          <t>1xx</t>
        </is>
      </c>
      <c r="C31" s="60" t="inlineStr">
        <is>
          <t>CSPar</t>
        </is>
      </c>
      <c r="D31" s="60" t="inlineStr">
        <is>
          <t>Floor Pars</t>
        </is>
      </c>
      <c r="E31" s="60" t="inlineStr">
        <is>
          <t>Flares</t>
        </is>
      </c>
      <c r="F31" s="60" t="inlineStr">
        <is>
          <t>Floor</t>
        </is>
      </c>
      <c r="G31" s="60" t="inlineStr">
        <is>
          <t>Active</t>
        </is>
      </c>
      <c r="H31" s="60" t="inlineStr">
        <is>
          <t>ZLLU-B004</t>
        </is>
      </c>
      <c r="I31" s="60" t="n">
        <v>3</v>
      </c>
      <c r="J31" s="60" t="n"/>
      <c r="K31" s="60" t="n">
        <v>5</v>
      </c>
      <c r="L31" s="60" t="n">
        <v>6</v>
      </c>
      <c r="M31" s="60" t="n">
        <v>26</v>
      </c>
      <c r="N31" s="60" t="n">
        <v>8</v>
      </c>
      <c r="O31" s="60" t="n">
        <v>0</v>
      </c>
      <c r="P31" s="60" t="n">
        <v>-2</v>
      </c>
      <c r="Q31" s="60" t="n">
        <v>37</v>
      </c>
      <c r="R31" s="60" t="inlineStr">
        <is>
          <t>assets.xlsx: fixch 37 dmx 187</t>
        </is>
      </c>
    </row>
    <row r="32">
      <c r="A32" s="60" t="n">
        <v>138</v>
      </c>
      <c r="B32" s="60" t="inlineStr">
        <is>
          <t>1xx</t>
        </is>
      </c>
      <c r="C32" s="60" t="inlineStr">
        <is>
          <t>CSPar</t>
        </is>
      </c>
      <c r="D32" s="60" t="inlineStr">
        <is>
          <t>Floor Pars</t>
        </is>
      </c>
      <c r="E32" s="60" t="inlineStr">
        <is>
          <t>Flares</t>
        </is>
      </c>
      <c r="F32" s="60" t="inlineStr">
        <is>
          <t>Floor</t>
        </is>
      </c>
      <c r="G32" s="60" t="inlineStr">
        <is>
          <t>Active</t>
        </is>
      </c>
      <c r="H32" s="60" t="n"/>
      <c r="I32" s="60" t="n">
        <v>3</v>
      </c>
      <c r="J32" s="60" t="n"/>
      <c r="K32" s="60" t="n">
        <v>5</v>
      </c>
      <c r="L32" s="60" t="n">
        <v>10</v>
      </c>
      <c r="M32" s="60" t="n">
        <v>24</v>
      </c>
      <c r="N32" s="60" t="n">
        <v>8</v>
      </c>
      <c r="O32" s="60" t="n">
        <v>0</v>
      </c>
      <c r="P32" s="60" t="n">
        <v>-2</v>
      </c>
      <c r="Q32" s="60" t="n">
        <v>38</v>
      </c>
      <c r="R32" s="60" t="inlineStr">
        <is>
          <t>Tag one of ZLLU-A031..A037, ZLLU-B008..B011, ZLLU-B001..B007</t>
        </is>
      </c>
    </row>
    <row r="33">
      <c r="A33" s="60" t="n">
        <v>139</v>
      </c>
      <c r="B33" s="60" t="inlineStr">
        <is>
          <t>1xx</t>
        </is>
      </c>
      <c r="C33" s="60" t="inlineStr">
        <is>
          <t>CSPar</t>
        </is>
      </c>
      <c r="D33" s="60" t="inlineStr">
        <is>
          <t>Floor Pars</t>
        </is>
      </c>
      <c r="E33" s="60" t="inlineStr">
        <is>
          <t>Flares</t>
        </is>
      </c>
      <c r="F33" s="60" t="inlineStr">
        <is>
          <t>Floor</t>
        </is>
      </c>
      <c r="G33" s="60" t="inlineStr">
        <is>
          <t>Active</t>
        </is>
      </c>
      <c r="H33" s="60" t="n"/>
      <c r="I33" s="60" t="n">
        <v>3</v>
      </c>
      <c r="J33" s="60" t="n"/>
      <c r="K33" s="60" t="n">
        <v>5</v>
      </c>
      <c r="L33" s="60" t="n">
        <v>14</v>
      </c>
      <c r="M33" s="60" t="n">
        <v>22</v>
      </c>
      <c r="N33" s="60" t="n">
        <v>8</v>
      </c>
      <c r="O33" s="60" t="n">
        <v>0</v>
      </c>
      <c r="P33" s="60" t="n">
        <v>-2</v>
      </c>
      <c r="Q33" s="60" t="n">
        <v>39</v>
      </c>
      <c r="R33" s="60" t="inlineStr">
        <is>
          <t>Tag one of ZLLU-A031..A037, ZLLU-B008..B011, ZLLU-B001..B007</t>
        </is>
      </c>
    </row>
    <row r="34">
      <c r="A34" s="60" t="n">
        <v>140</v>
      </c>
      <c r="B34" s="60" t="inlineStr">
        <is>
          <t>1xx</t>
        </is>
      </c>
      <c r="C34" s="60" t="inlineStr">
        <is>
          <t>CSPar</t>
        </is>
      </c>
      <c r="D34" s="60" t="inlineStr">
        <is>
          <t>Floor Pars</t>
        </is>
      </c>
      <c r="E34" s="60" t="inlineStr">
        <is>
          <t>Flares</t>
        </is>
      </c>
      <c r="F34" s="60" t="inlineStr">
        <is>
          <t>Floor</t>
        </is>
      </c>
      <c r="G34" s="60" t="inlineStr">
        <is>
          <t>Active</t>
        </is>
      </c>
      <c r="H34" s="60" t="n"/>
      <c r="I34" s="60" t="n">
        <v>3</v>
      </c>
      <c r="J34" s="60" t="n"/>
      <c r="K34" s="60" t="n">
        <v>5</v>
      </c>
      <c r="L34" s="60" t="n">
        <v>0</v>
      </c>
      <c r="M34" s="60" t="n">
        <v>22</v>
      </c>
      <c r="N34" s="60" t="n">
        <v>6</v>
      </c>
      <c r="O34" s="60" t="n">
        <v>0</v>
      </c>
      <c r="P34" s="60" t="n">
        <v>-2</v>
      </c>
      <c r="Q34" s="60" t="n">
        <v>40</v>
      </c>
      <c r="R34" s="60" t="inlineStr">
        <is>
          <t>Tag one of ZLLU-A031..A037, ZLLU-B008..B011, ZLLU-B001..B007</t>
        </is>
      </c>
    </row>
    <row r="35">
      <c r="A35" s="60" t="n">
        <v>201</v>
      </c>
      <c r="B35" s="60" t="inlineStr">
        <is>
          <t>200</t>
        </is>
      </c>
      <c r="C35" s="60" t="inlineStr">
        <is>
          <t>Diablo</t>
        </is>
      </c>
      <c r="D35" s="60" t="inlineStr">
        <is>
          <t>FOH</t>
        </is>
      </c>
      <c r="E35" s="60" t="n"/>
      <c r="F35" s="60" t="inlineStr">
        <is>
          <t>Ceiling</t>
        </is>
      </c>
      <c r="G35" s="60" t="inlineStr">
        <is>
          <t>Active</t>
        </is>
      </c>
      <c r="H35" s="60" t="inlineStr">
        <is>
          <t>2609-2501</t>
        </is>
      </c>
      <c r="I35" s="60" t="n">
        <v>7</v>
      </c>
      <c r="J35" s="60" t="n"/>
      <c r="K35" s="60" t="n">
        <v>56</v>
      </c>
      <c r="L35" s="60" t="n"/>
      <c r="M35" s="60" t="n"/>
      <c r="N35" s="60" t="n"/>
      <c r="O35" s="60" t="n"/>
      <c r="P35" s="60" t="n"/>
      <c r="Q35" s="60" t="n"/>
      <c r="R35" s="60" t="inlineStr">
        <is>
          <t>Tag from assets.xlsx Usage 'Fixture 201'</t>
        </is>
      </c>
    </row>
    <row r="36">
      <c r="A36" s="60" t="n">
        <v>202</v>
      </c>
      <c r="B36" s="60" t="inlineStr">
        <is>
          <t>200</t>
        </is>
      </c>
      <c r="C36" s="60" t="inlineStr">
        <is>
          <t>Diablo</t>
        </is>
      </c>
      <c r="D36" s="60" t="inlineStr">
        <is>
          <t>FOH</t>
        </is>
      </c>
      <c r="E36" s="60" t="n"/>
      <c r="F36" s="60" t="inlineStr">
        <is>
          <t>Ceiling</t>
        </is>
      </c>
      <c r="G36" s="60" t="inlineStr">
        <is>
          <t>Active</t>
        </is>
      </c>
      <c r="H36" s="60" t="inlineStr">
        <is>
          <t>2609-2502</t>
        </is>
      </c>
      <c r="I36" s="60" t="n">
        <v>7</v>
      </c>
      <c r="J36" s="60" t="n"/>
      <c r="K36" s="60" t="n">
        <v>56</v>
      </c>
      <c r="L36" s="60" t="n"/>
      <c r="M36" s="60" t="n"/>
      <c r="N36" s="60" t="n"/>
      <c r="O36" s="60" t="n"/>
      <c r="P36" s="60" t="n"/>
      <c r="Q36" s="60" t="n"/>
      <c r="R36" s="60" t="inlineStr">
        <is>
          <t>Tag from assets.xlsx Usage 'Fixture 202'</t>
        </is>
      </c>
    </row>
    <row r="37">
      <c r="A37" s="60" t="n">
        <v>203</v>
      </c>
      <c r="B37" s="60" t="inlineStr">
        <is>
          <t>200</t>
        </is>
      </c>
      <c r="C37" s="60" t="inlineStr">
        <is>
          <t>Diablo</t>
        </is>
      </c>
      <c r="D37" s="60" t="inlineStr">
        <is>
          <t>FOH</t>
        </is>
      </c>
      <c r="E37" s="60" t="n"/>
      <c r="F37" s="60" t="inlineStr">
        <is>
          <t>Ceiling</t>
        </is>
      </c>
      <c r="G37" s="60" t="inlineStr">
        <is>
          <t>Active</t>
        </is>
      </c>
      <c r="H37" s="60" t="inlineStr">
        <is>
          <t>2609-2503</t>
        </is>
      </c>
      <c r="I37" s="60" t="n">
        <v>7</v>
      </c>
      <c r="J37" s="60" t="n"/>
      <c r="K37" s="60" t="n">
        <v>56</v>
      </c>
      <c r="L37" s="60" t="n"/>
      <c r="M37" s="60" t="n"/>
      <c r="N37" s="60" t="n"/>
      <c r="O37" s="60" t="n"/>
      <c r="P37" s="60" t="n"/>
      <c r="Q37" s="60" t="n"/>
      <c r="R37" s="60" t="inlineStr">
        <is>
          <t>Tag from assets.xlsx Usage 'Fixture 203'</t>
        </is>
      </c>
    </row>
    <row r="38">
      <c r="A38" s="60" t="n">
        <v>211</v>
      </c>
      <c r="B38" s="60" t="inlineStr">
        <is>
          <t>210</t>
        </is>
      </c>
      <c r="C38" s="60" t="inlineStr">
        <is>
          <t>Diablo</t>
        </is>
      </c>
      <c r="D38" s="60" t="inlineStr">
        <is>
          <t>Stg Ovr</t>
        </is>
      </c>
      <c r="E38" s="60" t="n"/>
      <c r="F38" s="60" t="inlineStr">
        <is>
          <t>Ceiling</t>
        </is>
      </c>
      <c r="G38" s="60" t="inlineStr">
        <is>
          <t>Active</t>
        </is>
      </c>
      <c r="H38" s="60" t="inlineStr">
        <is>
          <t>2609-2504</t>
        </is>
      </c>
      <c r="I38" s="60" t="n">
        <v>6</v>
      </c>
      <c r="J38" s="60" t="n"/>
      <c r="K38" s="60" t="n">
        <v>56</v>
      </c>
      <c r="L38" s="60" t="n"/>
      <c r="M38" s="60" t="n"/>
      <c r="N38" s="60" t="n"/>
      <c r="O38" s="60" t="n"/>
      <c r="P38" s="60" t="n"/>
      <c r="Q38" s="60" t="n"/>
      <c r="R38" s="60" t="inlineStr">
        <is>
          <t>Tag from assets.xlsx Usage 'Fixture 211'</t>
        </is>
      </c>
    </row>
    <row r="39">
      <c r="A39" s="60" t="n">
        <v>212</v>
      </c>
      <c r="B39" s="60" t="inlineStr">
        <is>
          <t>210</t>
        </is>
      </c>
      <c r="C39" s="60" t="inlineStr">
        <is>
          <t>Diablo</t>
        </is>
      </c>
      <c r="D39" s="60" t="inlineStr">
        <is>
          <t>Stg Ovr</t>
        </is>
      </c>
      <c r="E39" s="60" t="n"/>
      <c r="F39" s="60" t="inlineStr">
        <is>
          <t>Ceiling</t>
        </is>
      </c>
      <c r="G39" s="60" t="inlineStr">
        <is>
          <t>Active</t>
        </is>
      </c>
      <c r="H39" s="60" t="inlineStr">
        <is>
          <t>2609-2505</t>
        </is>
      </c>
      <c r="I39" s="60" t="n">
        <v>6</v>
      </c>
      <c r="J39" s="60" t="n"/>
      <c r="K39" s="60" t="n">
        <v>56</v>
      </c>
      <c r="L39" s="60" t="n"/>
      <c r="M39" s="60" t="n"/>
      <c r="N39" s="60" t="n"/>
      <c r="O39" s="60" t="n"/>
      <c r="P39" s="60" t="n"/>
      <c r="Q39" s="60" t="n"/>
      <c r="R39" s="60" t="inlineStr">
        <is>
          <t>Tag from assets.xlsx Usage 'Fixture 212'</t>
        </is>
      </c>
    </row>
    <row r="40">
      <c r="A40" s="60" t="n">
        <v>213</v>
      </c>
      <c r="B40" s="60" t="inlineStr">
        <is>
          <t>210</t>
        </is>
      </c>
      <c r="C40" s="60" t="inlineStr">
        <is>
          <t>Diablo</t>
        </is>
      </c>
      <c r="D40" s="60" t="inlineStr">
        <is>
          <t>Stg Ovr</t>
        </is>
      </c>
      <c r="E40" s="60" t="n"/>
      <c r="F40" s="60" t="inlineStr">
        <is>
          <t>Ceiling</t>
        </is>
      </c>
      <c r="G40" s="60" t="inlineStr">
        <is>
          <t>Active</t>
        </is>
      </c>
      <c r="H40" s="60" t="inlineStr">
        <is>
          <t>2609-2506</t>
        </is>
      </c>
      <c r="I40" s="60" t="n">
        <v>6</v>
      </c>
      <c r="J40" s="60" t="n"/>
      <c r="K40" s="60" t="n">
        <v>56</v>
      </c>
      <c r="L40" s="60" t="n"/>
      <c r="M40" s="60" t="n"/>
      <c r="N40" s="60" t="n"/>
      <c r="O40" s="60" t="n"/>
      <c r="P40" s="60" t="n"/>
      <c r="Q40" s="60" t="n"/>
      <c r="R40" s="60" t="inlineStr">
        <is>
          <t>Tag from assets.xlsx Usage 'Fixture 213'</t>
        </is>
      </c>
    </row>
    <row r="41">
      <c r="A41" s="60" t="n">
        <v>214</v>
      </c>
      <c r="B41" s="60" t="inlineStr">
        <is>
          <t>210</t>
        </is>
      </c>
      <c r="C41" s="60" t="inlineStr">
        <is>
          <t>Diablo</t>
        </is>
      </c>
      <c r="D41" s="60" t="inlineStr">
        <is>
          <t>Stg Ovr</t>
        </is>
      </c>
      <c r="E41" s="60" t="n"/>
      <c r="F41" s="60" t="inlineStr">
        <is>
          <t>Ceiling</t>
        </is>
      </c>
      <c r="G41" s="60" t="inlineStr">
        <is>
          <t>Active</t>
        </is>
      </c>
      <c r="H41" s="60" t="inlineStr">
        <is>
          <t>2609-2507</t>
        </is>
      </c>
      <c r="I41" s="60" t="n">
        <v>6</v>
      </c>
      <c r="J41" s="60" t="n"/>
      <c r="K41" s="60" t="n">
        <v>56</v>
      </c>
      <c r="L41" s="60" t="n"/>
      <c r="M41" s="60" t="n"/>
      <c r="N41" s="60" t="n"/>
      <c r="O41" s="60" t="n"/>
      <c r="P41" s="60" t="n"/>
      <c r="Q41" s="60" t="n"/>
      <c r="R41" s="60" t="inlineStr">
        <is>
          <t>Tag from assets.xlsx Usage 'Fixture 214'</t>
        </is>
      </c>
    </row>
    <row r="42">
      <c r="A42" s="60" t="n">
        <v>301</v>
      </c>
      <c r="B42" s="60" t="inlineStr">
        <is>
          <t>300</t>
        </is>
      </c>
      <c r="C42" s="60" t="inlineStr">
        <is>
          <t>Tornado</t>
        </is>
      </c>
      <c r="D42" s="60" t="inlineStr">
        <is>
          <t>US C Ovr1</t>
        </is>
      </c>
      <c r="E42" s="60" t="n"/>
      <c r="F42" s="60" t="inlineStr">
        <is>
          <t>Over Stage</t>
        </is>
      </c>
      <c r="G42" s="60" t="inlineStr">
        <is>
          <t>Active</t>
        </is>
      </c>
      <c r="H42" s="60" t="inlineStr">
        <is>
          <t>2609-0011</t>
        </is>
      </c>
      <c r="I42" s="60" t="n">
        <v>4</v>
      </c>
      <c r="J42" s="60" t="n"/>
      <c r="K42" s="60" t="n">
        <v>170</v>
      </c>
      <c r="L42" s="60" t="n"/>
      <c r="M42" s="60" t="n"/>
      <c r="N42" s="60" t="n"/>
      <c r="O42" s="60" t="n"/>
      <c r="P42" s="60" t="n"/>
      <c r="Q42" s="60" t="n"/>
      <c r="R42" s="60" t="n"/>
    </row>
    <row r="43">
      <c r="A43" s="60" t="n">
        <v>302</v>
      </c>
      <c r="B43" s="60" t="inlineStr">
        <is>
          <t>300</t>
        </is>
      </c>
      <c r="C43" s="60" t="inlineStr">
        <is>
          <t>Tornado</t>
        </is>
      </c>
      <c r="D43" s="60" t="inlineStr">
        <is>
          <t>US C Ovr1</t>
        </is>
      </c>
      <c r="E43" s="60" t="n"/>
      <c r="F43" s="60" t="inlineStr">
        <is>
          <t>Over Stage</t>
        </is>
      </c>
      <c r="G43" s="60" t="inlineStr">
        <is>
          <t>Active</t>
        </is>
      </c>
      <c r="H43" s="60" t="inlineStr">
        <is>
          <t>2609-0012</t>
        </is>
      </c>
      <c r="I43" s="60" t="n">
        <v>4</v>
      </c>
      <c r="J43" s="60" t="n"/>
      <c r="K43" s="60" t="n">
        <v>170</v>
      </c>
      <c r="L43" s="60" t="n"/>
      <c r="M43" s="60" t="n"/>
      <c r="N43" s="60" t="n"/>
      <c r="O43" s="60" t="n"/>
      <c r="P43" s="60" t="n"/>
      <c r="Q43" s="60" t="n"/>
      <c r="R43" s="60" t="n"/>
    </row>
    <row r="44">
      <c r="A44" s="60" t="n">
        <v>303</v>
      </c>
      <c r="B44" s="60" t="inlineStr">
        <is>
          <t>300</t>
        </is>
      </c>
      <c r="C44" s="60" t="inlineStr">
        <is>
          <t>Tornado</t>
        </is>
      </c>
      <c r="D44" s="60" t="inlineStr">
        <is>
          <t>US C Ovr1</t>
        </is>
      </c>
      <c r="E44" s="60" t="n"/>
      <c r="F44" s="60" t="inlineStr">
        <is>
          <t>Over Stage</t>
        </is>
      </c>
      <c r="G44" s="60" t="inlineStr">
        <is>
          <t>Active</t>
        </is>
      </c>
      <c r="H44" s="60" t="inlineStr">
        <is>
          <t>2609-0013</t>
        </is>
      </c>
      <c r="I44" s="60" t="n">
        <v>4</v>
      </c>
      <c r="J44" s="60" t="n"/>
      <c r="K44" s="60" t="n">
        <v>170</v>
      </c>
      <c r="L44" s="60" t="n"/>
      <c r="M44" s="60" t="n"/>
      <c r="N44" s="60" t="n"/>
      <c r="O44" s="60" t="n"/>
      <c r="P44" s="60" t="n"/>
      <c r="Q44" s="60" t="n"/>
      <c r="R44" s="60" t="n"/>
    </row>
    <row r="45">
      <c r="A45" s="60" t="n">
        <v>304</v>
      </c>
      <c r="B45" s="60" t="inlineStr">
        <is>
          <t>300</t>
        </is>
      </c>
      <c r="C45" s="60" t="inlineStr">
        <is>
          <t>Tornado</t>
        </is>
      </c>
      <c r="D45" s="60" t="inlineStr">
        <is>
          <t>US C Ovr2</t>
        </is>
      </c>
      <c r="E45" s="60" t="n"/>
      <c r="F45" s="60" t="inlineStr">
        <is>
          <t>Over Stage</t>
        </is>
      </c>
      <c r="G45" s="60" t="inlineStr">
        <is>
          <t>Active</t>
        </is>
      </c>
      <c r="H45" s="60" t="inlineStr">
        <is>
          <t>2609-0014</t>
        </is>
      </c>
      <c r="I45" s="60" t="n">
        <v>5</v>
      </c>
      <c r="J45" s="60" t="n"/>
      <c r="K45" s="60" t="n">
        <v>170</v>
      </c>
      <c r="L45" s="60" t="n"/>
      <c r="M45" s="60" t="n"/>
      <c r="N45" s="60" t="n"/>
      <c r="O45" s="60" t="n"/>
      <c r="P45" s="60" t="n"/>
      <c r="Q45" s="60" t="n"/>
      <c r="R45" s="60" t="n"/>
    </row>
    <row r="46">
      <c r="A46" s="60" t="n">
        <v>305</v>
      </c>
      <c r="B46" s="60" t="inlineStr">
        <is>
          <t>300</t>
        </is>
      </c>
      <c r="C46" s="60" t="inlineStr">
        <is>
          <t>Tornado</t>
        </is>
      </c>
      <c r="D46" s="60" t="inlineStr">
        <is>
          <t>US C Ovr2</t>
        </is>
      </c>
      <c r="E46" s="60" t="n"/>
      <c r="F46" s="60" t="inlineStr">
        <is>
          <t>Over Stage</t>
        </is>
      </c>
      <c r="G46" s="60" t="inlineStr">
        <is>
          <t>Active</t>
        </is>
      </c>
      <c r="H46" s="60" t="inlineStr">
        <is>
          <t>2609-0015</t>
        </is>
      </c>
      <c r="I46" s="60" t="n">
        <v>5</v>
      </c>
      <c r="J46" s="60" t="n"/>
      <c r="K46" s="60" t="n">
        <v>170</v>
      </c>
      <c r="L46" s="60" t="n"/>
      <c r="M46" s="60" t="n"/>
      <c r="N46" s="60" t="n"/>
      <c r="O46" s="60" t="n"/>
      <c r="P46" s="60" t="n"/>
      <c r="Q46" s="60" t="n"/>
      <c r="R46" s="60" t="n"/>
    </row>
    <row r="47">
      <c r="A47" s="60" t="n">
        <v>401</v>
      </c>
      <c r="B47" s="60" t="inlineStr">
        <is>
          <t>400</t>
        </is>
      </c>
      <c r="C47" s="60" t="inlineStr">
        <is>
          <t>P2EVO</t>
        </is>
      </c>
      <c r="D47" s="60" t="inlineStr">
        <is>
          <t>Stage Floor</t>
        </is>
      </c>
      <c r="E47" s="60" t="n"/>
      <c r="F47" s="60" t="inlineStr">
        <is>
          <t>Stage</t>
        </is>
      </c>
      <c r="G47" s="60" t="inlineStr">
        <is>
          <t>Active</t>
        </is>
      </c>
      <c r="H47" s="60" t="inlineStr">
        <is>
          <t>2609-0008</t>
        </is>
      </c>
      <c r="I47" s="60" t="n">
        <v>3</v>
      </c>
      <c r="J47" s="60" t="n"/>
      <c r="K47" s="60" t="n">
        <v>69</v>
      </c>
      <c r="L47" s="60" t="n"/>
      <c r="M47" s="60" t="n"/>
      <c r="N47" s="60" t="n"/>
      <c r="O47" s="60" t="n"/>
      <c r="P47" s="60" t="n"/>
      <c r="Q47" s="60" t="n"/>
      <c r="R47" s="60" t="n"/>
    </row>
    <row r="48">
      <c r="A48" s="60" t="n">
        <v>402</v>
      </c>
      <c r="B48" s="60" t="inlineStr">
        <is>
          <t>400</t>
        </is>
      </c>
      <c r="C48" s="60" t="inlineStr">
        <is>
          <t>P2EVO</t>
        </is>
      </c>
      <c r="D48" s="60" t="inlineStr">
        <is>
          <t>Stage Floor</t>
        </is>
      </c>
      <c r="E48" s="60" t="n"/>
      <c r="F48" s="60" t="inlineStr">
        <is>
          <t>Stage</t>
        </is>
      </c>
      <c r="G48" s="60" t="inlineStr">
        <is>
          <t>Active</t>
        </is>
      </c>
      <c r="H48" s="60" t="inlineStr">
        <is>
          <t>2609-0009</t>
        </is>
      </c>
      <c r="I48" s="60" t="n">
        <v>3</v>
      </c>
      <c r="J48" s="60" t="n"/>
      <c r="K48" s="60" t="n">
        <v>69</v>
      </c>
      <c r="L48" s="60" t="n"/>
      <c r="M48" s="60" t="n"/>
      <c r="N48" s="60" t="n"/>
      <c r="O48" s="60" t="n"/>
      <c r="P48" s="60" t="n"/>
      <c r="Q48" s="60" t="n"/>
      <c r="R48" s="60" t="n"/>
    </row>
    <row r="49">
      <c r="A49" s="60" t="n">
        <v>403</v>
      </c>
      <c r="B49" s="60" t="inlineStr">
        <is>
          <t>400</t>
        </is>
      </c>
      <c r="C49" s="60" t="inlineStr">
        <is>
          <t>P2EVO</t>
        </is>
      </c>
      <c r="D49" s="60" t="inlineStr">
        <is>
          <t>Stage Floor</t>
        </is>
      </c>
      <c r="E49" s="60" t="n"/>
      <c r="F49" s="60" t="inlineStr">
        <is>
          <t>Stage</t>
        </is>
      </c>
      <c r="G49" s="60" t="inlineStr">
        <is>
          <t>Active</t>
        </is>
      </c>
      <c r="H49" s="60" t="inlineStr">
        <is>
          <t>2609-0010</t>
        </is>
      </c>
      <c r="I49" s="60" t="n">
        <v>3</v>
      </c>
      <c r="J49" s="60" t="n"/>
      <c r="K49" s="60" t="n">
        <v>69</v>
      </c>
      <c r="L49" s="60" t="n"/>
      <c r="M49" s="60" t="n"/>
      <c r="N49" s="60" t="n"/>
      <c r="O49" s="60" t="n"/>
      <c r="P49" s="60" t="n"/>
      <c r="Q49" s="60" t="n"/>
      <c r="R49" s="60" t="n"/>
    </row>
    <row r="50">
      <c r="A50" s="60" t="n">
        <v>501</v>
      </c>
      <c r="B50" s="60" t="inlineStr">
        <is>
          <t>500</t>
        </is>
      </c>
      <c r="C50" s="60" t="inlineStr">
        <is>
          <t>KLCycS</t>
        </is>
      </c>
      <c r="D50" s="60" t="inlineStr">
        <is>
          <t>Footlight</t>
        </is>
      </c>
      <c r="E50" s="60" t="n"/>
      <c r="F50" s="60" t="inlineStr">
        <is>
          <t>Thrust</t>
        </is>
      </c>
      <c r="G50" s="60" t="inlineStr">
        <is>
          <t>Active</t>
        </is>
      </c>
      <c r="H50" s="60" t="inlineStr">
        <is>
          <t>2609-0016</t>
        </is>
      </c>
      <c r="I50" s="60" t="n">
        <v>3</v>
      </c>
      <c r="J50" s="60" t="n"/>
      <c r="K50" s="60" t="n">
        <v>32</v>
      </c>
      <c r="L50" s="60" t="n"/>
      <c r="M50" s="60" t="n"/>
      <c r="N50" s="60" t="n"/>
      <c r="O50" s="60" t="n"/>
      <c r="P50" s="60" t="n"/>
      <c r="Q50" s="60" t="n"/>
      <c r="R50" s="60" t="n"/>
    </row>
    <row r="51">
      <c r="A51" s="60" t="n">
        <v>502</v>
      </c>
      <c r="B51" s="60" t="inlineStr">
        <is>
          <t>500</t>
        </is>
      </c>
      <c r="C51" s="60" t="inlineStr">
        <is>
          <t>KLCycS</t>
        </is>
      </c>
      <c r="D51" s="60" t="inlineStr">
        <is>
          <t>Footlight</t>
        </is>
      </c>
      <c r="E51" s="60" t="n"/>
      <c r="F51" s="60" t="inlineStr">
        <is>
          <t>Thrust</t>
        </is>
      </c>
      <c r="G51" s="60" t="inlineStr">
        <is>
          <t>Active</t>
        </is>
      </c>
      <c r="H51" s="60" t="inlineStr">
        <is>
          <t>2609-0017</t>
        </is>
      </c>
      <c r="I51" s="60" t="n">
        <v>3</v>
      </c>
      <c r="J51" s="60" t="n"/>
      <c r="K51" s="60" t="n">
        <v>32</v>
      </c>
      <c r="L51" s="60" t="n"/>
      <c r="M51" s="60" t="n"/>
      <c r="N51" s="60" t="n"/>
      <c r="O51" s="60" t="n"/>
      <c r="P51" s="60" t="n"/>
      <c r="Q51" s="60" t="n"/>
      <c r="R51" s="60" t="n"/>
    </row>
    <row r="52">
      <c r="A52" s="60" t="n">
        <v>601</v>
      </c>
      <c r="B52" s="60" t="inlineStr">
        <is>
          <t>600</t>
        </is>
      </c>
      <c r="C52" s="60" t="inlineStr">
        <is>
          <t>ADJ-UHB12</t>
        </is>
      </c>
      <c r="D52" s="60" t="inlineStr">
        <is>
          <t>WallsEast</t>
        </is>
      </c>
      <c r="E52" s="60" t="inlineStr">
        <is>
          <t>Wall Wash</t>
        </is>
      </c>
      <c r="F52" s="60" t="inlineStr">
        <is>
          <t>East Wall</t>
        </is>
      </c>
      <c r="G52" s="60" t="inlineStr">
        <is>
          <t>Active</t>
        </is>
      </c>
      <c r="H52" s="60" t="inlineStr">
        <is>
          <t>ZLLU-B029</t>
        </is>
      </c>
      <c r="I52" s="60" t="n">
        <v>2</v>
      </c>
      <c r="J52" s="60" t="n"/>
      <c r="K52" s="60" t="n">
        <v>36</v>
      </c>
      <c r="L52" s="60" t="n">
        <v>-46</v>
      </c>
      <c r="M52" s="60" t="n">
        <v>-10</v>
      </c>
      <c r="N52" s="60" t="n">
        <v>16</v>
      </c>
      <c r="O52" s="60" t="n">
        <v>2</v>
      </c>
      <c r="P52" s="60" t="n">
        <v>-2</v>
      </c>
      <c r="Q52" s="60" t="n">
        <v>49</v>
      </c>
      <c r="R52" s="60" t="n"/>
    </row>
    <row r="53">
      <c r="A53" s="60" t="n">
        <v>602</v>
      </c>
      <c r="B53" s="60" t="inlineStr">
        <is>
          <t>600</t>
        </is>
      </c>
      <c r="C53" s="60" t="inlineStr">
        <is>
          <t>ADJ-UHB12</t>
        </is>
      </c>
      <c r="D53" s="60" t="inlineStr">
        <is>
          <t>WallsEast</t>
        </is>
      </c>
      <c r="E53" s="60" t="inlineStr">
        <is>
          <t>Wall Wash</t>
        </is>
      </c>
      <c r="F53" s="60" t="inlineStr">
        <is>
          <t>East Wall</t>
        </is>
      </c>
      <c r="G53" s="60" t="inlineStr">
        <is>
          <t>Active</t>
        </is>
      </c>
      <c r="H53" s="60" t="inlineStr">
        <is>
          <t>ZLLU-B030</t>
        </is>
      </c>
      <c r="I53" s="60" t="n">
        <v>2</v>
      </c>
      <c r="J53" s="60" t="n"/>
      <c r="K53" s="60" t="n">
        <v>36</v>
      </c>
      <c r="L53" s="60" t="n">
        <v>-43.3</v>
      </c>
      <c r="M53" s="60" t="n">
        <v>-7</v>
      </c>
      <c r="N53" s="60" t="n">
        <v>17</v>
      </c>
      <c r="O53" s="60" t="n">
        <v>2</v>
      </c>
      <c r="P53" s="60" t="n">
        <v>-2.2</v>
      </c>
      <c r="Q53" s="60" t="n">
        <v>50</v>
      </c>
      <c r="R53" s="60" t="n"/>
    </row>
    <row r="54">
      <c r="A54" s="60" t="n">
        <v>603</v>
      </c>
      <c r="B54" s="60" t="inlineStr">
        <is>
          <t>600</t>
        </is>
      </c>
      <c r="C54" s="60" t="inlineStr">
        <is>
          <t>ADJ-UHB12</t>
        </is>
      </c>
      <c r="D54" s="60" t="inlineStr">
        <is>
          <t>WallsEast</t>
        </is>
      </c>
      <c r="E54" s="60" t="inlineStr">
        <is>
          <t>Wall Wash</t>
        </is>
      </c>
      <c r="F54" s="60" t="inlineStr">
        <is>
          <t>East Wall</t>
        </is>
      </c>
      <c r="G54" s="60" t="inlineStr">
        <is>
          <t>Active</t>
        </is>
      </c>
      <c r="H54" s="60" t="inlineStr">
        <is>
          <t>ZLLU-B031</t>
        </is>
      </c>
      <c r="I54" s="60" t="n">
        <v>2</v>
      </c>
      <c r="J54" s="60" t="n"/>
      <c r="K54" s="60" t="n">
        <v>36</v>
      </c>
      <c r="L54" s="60" t="n">
        <v>-40.59999999999999</v>
      </c>
      <c r="M54" s="60" t="n">
        <v>-4</v>
      </c>
      <c r="N54" s="60" t="n">
        <v>18</v>
      </c>
      <c r="O54" s="60" t="n">
        <v>2</v>
      </c>
      <c r="P54" s="60" t="n">
        <v>-2.2</v>
      </c>
      <c r="Q54" s="60" t="n">
        <v>51</v>
      </c>
      <c r="R54" s="60" t="n"/>
    </row>
    <row r="55">
      <c r="A55" s="60" t="n">
        <v>604</v>
      </c>
      <c r="B55" s="60" t="inlineStr">
        <is>
          <t>600</t>
        </is>
      </c>
      <c r="C55" s="60" t="inlineStr">
        <is>
          <t>ADJ-UHB12</t>
        </is>
      </c>
      <c r="D55" s="60" t="inlineStr">
        <is>
          <t>WallsEast</t>
        </is>
      </c>
      <c r="E55" s="60" t="inlineStr">
        <is>
          <t>Wall Wash</t>
        </is>
      </c>
      <c r="F55" s="60" t="inlineStr">
        <is>
          <t>East Wall</t>
        </is>
      </c>
      <c r="G55" s="60" t="inlineStr">
        <is>
          <t>Active</t>
        </is>
      </c>
      <c r="H55" s="60" t="inlineStr">
        <is>
          <t>ZLLU-B032</t>
        </is>
      </c>
      <c r="I55" s="60" t="n">
        <v>2</v>
      </c>
      <c r="J55" s="60" t="n"/>
      <c r="K55" s="60" t="n">
        <v>36</v>
      </c>
      <c r="L55" s="60" t="n">
        <v>-37.89999999999999</v>
      </c>
      <c r="M55" s="60" t="n">
        <v>-1</v>
      </c>
      <c r="N55" s="60" t="n">
        <v>19</v>
      </c>
      <c r="O55" s="60" t="n">
        <v>2</v>
      </c>
      <c r="P55" s="60" t="n">
        <v>-2.2</v>
      </c>
      <c r="Q55" s="60" t="n">
        <v>52</v>
      </c>
      <c r="R55" s="60" t="n"/>
    </row>
    <row r="56">
      <c r="A56" s="60" t="n">
        <v>605</v>
      </c>
      <c r="B56" s="60" t="inlineStr">
        <is>
          <t>600</t>
        </is>
      </c>
      <c r="C56" s="60" t="inlineStr">
        <is>
          <t>ADJ-UHB12</t>
        </is>
      </c>
      <c r="D56" s="60" t="inlineStr">
        <is>
          <t>WallsEast</t>
        </is>
      </c>
      <c r="E56" s="60" t="inlineStr">
        <is>
          <t>Wall Wash</t>
        </is>
      </c>
      <c r="F56" s="60" t="inlineStr">
        <is>
          <t>East Wall</t>
        </is>
      </c>
      <c r="G56" s="60" t="inlineStr">
        <is>
          <t>Active</t>
        </is>
      </c>
      <c r="H56" s="60" t="inlineStr">
        <is>
          <t>ZLLU-B033</t>
        </is>
      </c>
      <c r="I56" s="60" t="n">
        <v>2</v>
      </c>
      <c r="J56" s="60" t="n"/>
      <c r="K56" s="60" t="n">
        <v>36</v>
      </c>
      <c r="L56" s="60" t="n">
        <v>-35.19999999999999</v>
      </c>
      <c r="M56" s="60" t="n">
        <v>2</v>
      </c>
      <c r="N56" s="60" t="n">
        <v>20</v>
      </c>
      <c r="O56" s="60" t="n">
        <v>2</v>
      </c>
      <c r="P56" s="60" t="n">
        <v>-2.2</v>
      </c>
      <c r="Q56" s="60" t="n">
        <v>53</v>
      </c>
      <c r="R56" s="60" t="n"/>
    </row>
    <row r="57">
      <c r="A57" s="60" t="n">
        <v>606</v>
      </c>
      <c r="B57" s="60" t="inlineStr">
        <is>
          <t>600</t>
        </is>
      </c>
      <c r="C57" s="60" t="inlineStr">
        <is>
          <t>ADJ-UHB12</t>
        </is>
      </c>
      <c r="D57" s="60" t="inlineStr">
        <is>
          <t>WallsEast</t>
        </is>
      </c>
      <c r="E57" s="60" t="inlineStr">
        <is>
          <t>Wall Wash</t>
        </is>
      </c>
      <c r="F57" s="60" t="inlineStr">
        <is>
          <t>East Wall</t>
        </is>
      </c>
      <c r="G57" s="60" t="inlineStr">
        <is>
          <t>Active</t>
        </is>
      </c>
      <c r="H57" s="60" t="inlineStr">
        <is>
          <t>ZLLU-B034</t>
        </is>
      </c>
      <c r="I57" s="60" t="n">
        <v>2</v>
      </c>
      <c r="J57" s="60" t="n"/>
      <c r="K57" s="60" t="n">
        <v>36</v>
      </c>
      <c r="L57" s="60" t="n">
        <v>-32.49999999999999</v>
      </c>
      <c r="M57" s="60" t="n">
        <v>5</v>
      </c>
      <c r="N57" s="60" t="n">
        <v>21</v>
      </c>
      <c r="O57" s="60" t="n">
        <v>2</v>
      </c>
      <c r="P57" s="60" t="n">
        <v>-2.2</v>
      </c>
      <c r="Q57" s="60" t="n">
        <v>54</v>
      </c>
      <c r="R57" s="60" t="n"/>
    </row>
    <row r="58">
      <c r="A58" s="60" t="n">
        <v>607</v>
      </c>
      <c r="B58" s="60" t="inlineStr">
        <is>
          <t>600</t>
        </is>
      </c>
      <c r="C58" s="60" t="inlineStr">
        <is>
          <t>ADJ-UHB12</t>
        </is>
      </c>
      <c r="D58" s="60" t="inlineStr">
        <is>
          <t>WallsEast</t>
        </is>
      </c>
      <c r="E58" s="60" t="inlineStr">
        <is>
          <t>Wall Wash</t>
        </is>
      </c>
      <c r="F58" s="60" t="inlineStr">
        <is>
          <t>East Wall</t>
        </is>
      </c>
      <c r="G58" s="60" t="inlineStr">
        <is>
          <t>Active</t>
        </is>
      </c>
      <c r="H58" s="60" t="inlineStr">
        <is>
          <t>ZLLU-B035</t>
        </is>
      </c>
      <c r="I58" s="60" t="n">
        <v>2</v>
      </c>
      <c r="J58" s="60" t="n"/>
      <c r="K58" s="60" t="n">
        <v>36</v>
      </c>
      <c r="L58" s="60" t="n">
        <v>-29.79999999999999</v>
      </c>
      <c r="M58" s="60" t="n">
        <v>8</v>
      </c>
      <c r="N58" s="60" t="n">
        <v>22</v>
      </c>
      <c r="O58" s="60" t="n">
        <v>2</v>
      </c>
      <c r="P58" s="60" t="n">
        <v>-2.2</v>
      </c>
      <c r="Q58" s="60" t="n">
        <v>55</v>
      </c>
      <c r="R58" s="60" t="n"/>
    </row>
    <row r="59">
      <c r="A59" s="60" t="n">
        <v>611</v>
      </c>
      <c r="B59" s="60" t="inlineStr">
        <is>
          <t>610</t>
        </is>
      </c>
      <c r="C59" s="60" t="inlineStr">
        <is>
          <t>ADJ-UHB12</t>
        </is>
      </c>
      <c r="D59" s="60" t="inlineStr">
        <is>
          <t>WallsWest</t>
        </is>
      </c>
      <c r="E59" s="60" t="inlineStr">
        <is>
          <t>Wall Wash</t>
        </is>
      </c>
      <c r="F59" s="60" t="inlineStr">
        <is>
          <t>West Wall</t>
        </is>
      </c>
      <c r="G59" s="60" t="inlineStr">
        <is>
          <t>Active</t>
        </is>
      </c>
      <c r="H59" s="60" t="inlineStr">
        <is>
          <t>ZLLU-B036</t>
        </is>
      </c>
      <c r="I59" s="60" t="n">
        <v>2</v>
      </c>
      <c r="J59" s="60" t="n"/>
      <c r="K59" s="60" t="n">
        <v>36</v>
      </c>
      <c r="L59" s="60" t="n">
        <v>29.79999999999999</v>
      </c>
      <c r="M59" s="60" t="n">
        <v>8</v>
      </c>
      <c r="N59" s="60" t="n">
        <v>22</v>
      </c>
      <c r="O59" s="60" t="n">
        <v>-2</v>
      </c>
      <c r="P59" s="60" t="n">
        <v>-2.2</v>
      </c>
      <c r="Q59" s="60" t="n">
        <v>56</v>
      </c>
      <c r="R59" s="60" t="n"/>
    </row>
    <row r="60">
      <c r="A60" s="60" t="n">
        <v>612</v>
      </c>
      <c r="B60" s="60" t="inlineStr">
        <is>
          <t>610</t>
        </is>
      </c>
      <c r="C60" s="60" t="inlineStr">
        <is>
          <t>ADJ-UHB12</t>
        </is>
      </c>
      <c r="D60" s="60" t="inlineStr">
        <is>
          <t>WallsWest</t>
        </is>
      </c>
      <c r="E60" s="60" t="inlineStr">
        <is>
          <t>Wall Wash</t>
        </is>
      </c>
      <c r="F60" s="60" t="inlineStr">
        <is>
          <t>West Wall</t>
        </is>
      </c>
      <c r="G60" s="60" t="inlineStr">
        <is>
          <t>Active</t>
        </is>
      </c>
      <c r="H60" s="60" t="inlineStr">
        <is>
          <t>ZLLU-B037</t>
        </is>
      </c>
      <c r="I60" s="60" t="n">
        <v>2</v>
      </c>
      <c r="J60" s="60" t="n"/>
      <c r="K60" s="60" t="n">
        <v>36</v>
      </c>
      <c r="L60" s="60" t="n">
        <v>32.49999999999999</v>
      </c>
      <c r="M60" s="60" t="n">
        <v>5</v>
      </c>
      <c r="N60" s="60" t="n">
        <v>21</v>
      </c>
      <c r="O60" s="60" t="n">
        <v>-2</v>
      </c>
      <c r="P60" s="60" t="n">
        <v>-2.2</v>
      </c>
      <c r="Q60" s="60" t="n">
        <v>57</v>
      </c>
      <c r="R60" s="60" t="n"/>
    </row>
    <row r="61">
      <c r="A61" s="60" t="n">
        <v>613</v>
      </c>
      <c r="B61" s="60" t="inlineStr">
        <is>
          <t>610</t>
        </is>
      </c>
      <c r="C61" s="60" t="inlineStr">
        <is>
          <t>ADJ-UHB12</t>
        </is>
      </c>
      <c r="D61" s="60" t="inlineStr">
        <is>
          <t>WallsWest</t>
        </is>
      </c>
      <c r="E61" s="60" t="inlineStr">
        <is>
          <t>Wall Wash</t>
        </is>
      </c>
      <c r="F61" s="60" t="inlineStr">
        <is>
          <t>West Wall</t>
        </is>
      </c>
      <c r="G61" s="60" t="inlineStr">
        <is>
          <t>Active</t>
        </is>
      </c>
      <c r="H61" s="60" t="inlineStr">
        <is>
          <t>ZLLU-B038</t>
        </is>
      </c>
      <c r="I61" s="60" t="n">
        <v>2</v>
      </c>
      <c r="J61" s="60" t="n"/>
      <c r="K61" s="60" t="n">
        <v>36</v>
      </c>
      <c r="L61" s="60" t="n">
        <v>35.19999999999999</v>
      </c>
      <c r="M61" s="60" t="n">
        <v>2</v>
      </c>
      <c r="N61" s="60" t="n">
        <v>20</v>
      </c>
      <c r="O61" s="60" t="n">
        <v>-2</v>
      </c>
      <c r="P61" s="60" t="n">
        <v>-2.2</v>
      </c>
      <c r="Q61" s="60" t="n">
        <v>58</v>
      </c>
      <c r="R61" s="60" t="n"/>
    </row>
    <row r="62">
      <c r="A62" s="60" t="n">
        <v>614</v>
      </c>
      <c r="B62" s="60" t="inlineStr">
        <is>
          <t>610</t>
        </is>
      </c>
      <c r="C62" s="60" t="inlineStr">
        <is>
          <t>ADJ-UHB12</t>
        </is>
      </c>
      <c r="D62" s="60" t="inlineStr">
        <is>
          <t>WallsWest</t>
        </is>
      </c>
      <c r="E62" s="60" t="inlineStr">
        <is>
          <t>Wall Wash</t>
        </is>
      </c>
      <c r="F62" s="60" t="inlineStr">
        <is>
          <t>West Wall</t>
        </is>
      </c>
      <c r="G62" s="60" t="inlineStr">
        <is>
          <t>Active</t>
        </is>
      </c>
      <c r="H62" s="60" t="inlineStr">
        <is>
          <t>ZLLU-B039</t>
        </is>
      </c>
      <c r="I62" s="60" t="n">
        <v>2</v>
      </c>
      <c r="J62" s="60" t="n"/>
      <c r="K62" s="60" t="n">
        <v>36</v>
      </c>
      <c r="L62" s="60" t="n">
        <v>37.89999999999999</v>
      </c>
      <c r="M62" s="60" t="n">
        <v>-1</v>
      </c>
      <c r="N62" s="60" t="n">
        <v>19</v>
      </c>
      <c r="O62" s="60" t="n">
        <v>-2</v>
      </c>
      <c r="P62" s="60" t="n">
        <v>-2.2</v>
      </c>
      <c r="Q62" s="60" t="n">
        <v>59</v>
      </c>
      <c r="R62" s="60" t="n"/>
    </row>
    <row r="63">
      <c r="A63" s="60" t="n">
        <v>615</v>
      </c>
      <c r="B63" s="60" t="inlineStr">
        <is>
          <t>610</t>
        </is>
      </c>
      <c r="C63" s="60" t="inlineStr">
        <is>
          <t>ADJ-UHB12</t>
        </is>
      </c>
      <c r="D63" s="60" t="inlineStr">
        <is>
          <t>WallsWest</t>
        </is>
      </c>
      <c r="E63" s="60" t="inlineStr">
        <is>
          <t>Wall Wash</t>
        </is>
      </c>
      <c r="F63" s="60" t="inlineStr">
        <is>
          <t>West Wall</t>
        </is>
      </c>
      <c r="G63" s="60" t="inlineStr">
        <is>
          <t>Active</t>
        </is>
      </c>
      <c r="H63" s="60" t="inlineStr">
        <is>
          <t>ZLLU-B040</t>
        </is>
      </c>
      <c r="I63" s="60" t="n">
        <v>2</v>
      </c>
      <c r="J63" s="60" t="n"/>
      <c r="K63" s="60" t="n">
        <v>36</v>
      </c>
      <c r="L63" s="60" t="n">
        <v>40.59999999999999</v>
      </c>
      <c r="M63" s="60" t="n">
        <v>-4</v>
      </c>
      <c r="N63" s="60" t="n">
        <v>18</v>
      </c>
      <c r="O63" s="60" t="n">
        <v>-2</v>
      </c>
      <c r="P63" s="60" t="n">
        <v>-2.2</v>
      </c>
      <c r="Q63" s="60" t="n">
        <v>60</v>
      </c>
      <c r="R63" s="60" t="n"/>
    </row>
    <row r="64">
      <c r="A64" s="60" t="n">
        <v>616</v>
      </c>
      <c r="B64" s="60" t="inlineStr">
        <is>
          <t>610</t>
        </is>
      </c>
      <c r="C64" s="60" t="inlineStr">
        <is>
          <t>ADJ-UHB12</t>
        </is>
      </c>
      <c r="D64" s="60" t="inlineStr">
        <is>
          <t>WallsWest</t>
        </is>
      </c>
      <c r="E64" s="60" t="inlineStr">
        <is>
          <t>Wall Wash</t>
        </is>
      </c>
      <c r="F64" s="60" t="inlineStr">
        <is>
          <t>West Wall</t>
        </is>
      </c>
      <c r="G64" s="60" t="inlineStr">
        <is>
          <t>Active</t>
        </is>
      </c>
      <c r="H64" s="60" t="inlineStr">
        <is>
          <t>ZLLU-B041</t>
        </is>
      </c>
      <c r="I64" s="60" t="n">
        <v>2</v>
      </c>
      <c r="J64" s="60" t="n"/>
      <c r="K64" s="60" t="n">
        <v>36</v>
      </c>
      <c r="L64" s="60" t="n">
        <v>42.59999999999999</v>
      </c>
      <c r="M64" s="60" t="n">
        <v>-7</v>
      </c>
      <c r="N64" s="60" t="n">
        <v>17</v>
      </c>
      <c r="O64" s="60" t="n">
        <v>-2</v>
      </c>
      <c r="P64" s="60" t="n">
        <v>-2.2</v>
      </c>
      <c r="Q64" s="60" t="n">
        <v>61</v>
      </c>
      <c r="R64" s="60" t="n"/>
    </row>
    <row r="65">
      <c r="A65" s="60" t="n">
        <v>617</v>
      </c>
      <c r="B65" s="60" t="inlineStr">
        <is>
          <t>610</t>
        </is>
      </c>
      <c r="C65" s="60" t="inlineStr">
        <is>
          <t>ADJ-UHB12</t>
        </is>
      </c>
      <c r="D65" s="60" t="inlineStr">
        <is>
          <t>WallsWest</t>
        </is>
      </c>
      <c r="E65" s="60" t="inlineStr">
        <is>
          <t>Wall Wash</t>
        </is>
      </c>
      <c r="F65" s="60" t="inlineStr">
        <is>
          <t>West Wall</t>
        </is>
      </c>
      <c r="G65" s="60" t="inlineStr">
        <is>
          <t>Active</t>
        </is>
      </c>
      <c r="H65" s="60" t="inlineStr">
        <is>
          <t>ZLLU-B042</t>
        </is>
      </c>
      <c r="I65" s="60" t="n">
        <v>2</v>
      </c>
      <c r="J65" s="60" t="n"/>
      <c r="K65" s="60" t="n">
        <v>36</v>
      </c>
      <c r="L65" s="60" t="n">
        <v>46</v>
      </c>
      <c r="M65" s="60" t="n">
        <v>-10</v>
      </c>
      <c r="N65" s="60" t="n">
        <v>16</v>
      </c>
      <c r="O65" s="60" t="n">
        <v>-2</v>
      </c>
      <c r="P65" s="60" t="n">
        <v>-2.2</v>
      </c>
      <c r="Q65" s="60" t="n">
        <v>62</v>
      </c>
      <c r="R65" s="60" t="n"/>
    </row>
    <row r="66">
      <c r="A66" s="60" t="n">
        <v>641</v>
      </c>
      <c r="B66" s="60" t="inlineStr">
        <is>
          <t>640</t>
        </is>
      </c>
      <c r="C66" s="60" t="inlineStr">
        <is>
          <t>ADJ-UHB6</t>
        </is>
      </c>
      <c r="D66" s="60" t="inlineStr">
        <is>
          <t>BulkWallsEast</t>
        </is>
      </c>
      <c r="E66" s="60" t="inlineStr">
        <is>
          <t>Bulkhead Wash</t>
        </is>
      </c>
      <c r="F66" s="60" t="inlineStr">
        <is>
          <t>Bulkhead face</t>
        </is>
      </c>
      <c r="G66" s="60" t="inlineStr">
        <is>
          <t>Active</t>
        </is>
      </c>
      <c r="H66" s="60" t="inlineStr">
        <is>
          <t>ZLLU-B047</t>
        </is>
      </c>
      <c r="I66" s="60" t="n">
        <v>6</v>
      </c>
      <c r="J66" s="60" t="n"/>
      <c r="K66" s="60" t="n">
        <v>18</v>
      </c>
      <c r="L66" s="60" t="n">
        <v>-12</v>
      </c>
      <c r="M66" s="60" t="n">
        <v>0</v>
      </c>
      <c r="N66" s="60" t="n">
        <v>20</v>
      </c>
      <c r="O66" s="60" t="n">
        <v>-2</v>
      </c>
      <c r="P66" s="60" t="n">
        <v>-2</v>
      </c>
      <c r="Q66" s="60" t="n">
        <v>45</v>
      </c>
      <c r="R66" s="60" t="n"/>
    </row>
    <row r="67">
      <c r="A67" s="60" t="n">
        <v>642</v>
      </c>
      <c r="B67" s="60" t="inlineStr">
        <is>
          <t>640</t>
        </is>
      </c>
      <c r="C67" s="60" t="inlineStr">
        <is>
          <t>ADJ-UHB6</t>
        </is>
      </c>
      <c r="D67" s="60" t="inlineStr">
        <is>
          <t>BulkWallsEast</t>
        </is>
      </c>
      <c r="E67" s="60" t="inlineStr">
        <is>
          <t>Bulkhead Wash</t>
        </is>
      </c>
      <c r="F67" s="60" t="inlineStr">
        <is>
          <t>Bulkhead face</t>
        </is>
      </c>
      <c r="G67" s="60" t="inlineStr">
        <is>
          <t>Active</t>
        </is>
      </c>
      <c r="H67" s="60" t="inlineStr">
        <is>
          <t>ZLLU-B048</t>
        </is>
      </c>
      <c r="I67" s="60" t="n">
        <v>6</v>
      </c>
      <c r="J67" s="60" t="n"/>
      <c r="K67" s="60" t="n">
        <v>18</v>
      </c>
      <c r="L67" s="60" t="n">
        <v>-10</v>
      </c>
      <c r="M67" s="60" t="n">
        <v>-1</v>
      </c>
      <c r="N67" s="60" t="n">
        <v>20</v>
      </c>
      <c r="O67" s="60" t="n">
        <v>0</v>
      </c>
      <c r="P67" s="60" t="n">
        <v>-2</v>
      </c>
      <c r="Q67" s="60" t="n">
        <v>46</v>
      </c>
      <c r="R67" s="60" t="n"/>
    </row>
    <row r="68">
      <c r="A68" s="60" t="n">
        <v>651</v>
      </c>
      <c r="B68" s="60" t="inlineStr">
        <is>
          <t>650</t>
        </is>
      </c>
      <c r="C68" s="60" t="inlineStr">
        <is>
          <t>ADJ-UHB6</t>
        </is>
      </c>
      <c r="D68" s="60" t="inlineStr">
        <is>
          <t>BulkWallsWest</t>
        </is>
      </c>
      <c r="E68" s="60" t="inlineStr">
        <is>
          <t>Bulkhead Wash</t>
        </is>
      </c>
      <c r="F68" s="60" t="inlineStr">
        <is>
          <t>Bulkhead face</t>
        </is>
      </c>
      <c r="G68" s="60" t="inlineStr">
        <is>
          <t>Active</t>
        </is>
      </c>
      <c r="H68" s="60" t="inlineStr">
        <is>
          <t>ZLLU-B049</t>
        </is>
      </c>
      <c r="I68" s="60" t="n">
        <v>6</v>
      </c>
      <c r="J68" s="60" t="n"/>
      <c r="K68" s="60" t="n">
        <v>18</v>
      </c>
      <c r="L68" s="60" t="n">
        <v>10</v>
      </c>
      <c r="M68" s="60" t="n">
        <v>-1</v>
      </c>
      <c r="N68" s="60" t="n">
        <v>20</v>
      </c>
      <c r="O68" s="60" t="n">
        <v>0</v>
      </c>
      <c r="P68" s="60" t="n">
        <v>-2</v>
      </c>
      <c r="Q68" s="60" t="n">
        <v>47</v>
      </c>
      <c r="R68" s="60" t="n"/>
    </row>
    <row r="69">
      <c r="A69" s="60" t="n">
        <v>652</v>
      </c>
      <c r="B69" s="60" t="inlineStr">
        <is>
          <t>650</t>
        </is>
      </c>
      <c r="C69" s="60" t="inlineStr">
        <is>
          <t>ADJ-UHB6</t>
        </is>
      </c>
      <c r="D69" s="60" t="inlineStr">
        <is>
          <t>BulkWallsWest</t>
        </is>
      </c>
      <c r="E69" s="60" t="inlineStr">
        <is>
          <t>Bulkhead Wash</t>
        </is>
      </c>
      <c r="F69" s="60" t="inlineStr">
        <is>
          <t>Bulkhead face</t>
        </is>
      </c>
      <c r="G69" s="60" t="inlineStr">
        <is>
          <t>Active</t>
        </is>
      </c>
      <c r="H69" s="60" t="inlineStr">
        <is>
          <t>ZLLU-B050</t>
        </is>
      </c>
      <c r="I69" s="60" t="n">
        <v>6</v>
      </c>
      <c r="J69" s="60" t="n"/>
      <c r="K69" s="60" t="n">
        <v>18</v>
      </c>
      <c r="L69" s="60" t="n">
        <v>12</v>
      </c>
      <c r="M69" s="60" t="n">
        <v>0</v>
      </c>
      <c r="N69" s="60" t="n">
        <v>20</v>
      </c>
      <c r="O69" s="60" t="n">
        <v>2</v>
      </c>
      <c r="P69" s="60" t="n">
        <v>-2</v>
      </c>
      <c r="Q69" s="60" t="n">
        <v>48</v>
      </c>
      <c r="R69" s="60" t="n"/>
    </row>
    <row r="70">
      <c r="A70" s="60" t="n">
        <v>661</v>
      </c>
      <c r="B70" s="60" t="inlineStr">
        <is>
          <t>660</t>
        </is>
      </c>
      <c r="C70" s="60" t="inlineStr">
        <is>
          <t>ADJ-UHB12</t>
        </is>
      </c>
      <c r="D70" s="60" t="inlineStr">
        <is>
          <t>Pillars</t>
        </is>
      </c>
      <c r="E70" s="60" t="inlineStr">
        <is>
          <t>Pillars</t>
        </is>
      </c>
      <c r="F70" s="60" t="inlineStr">
        <is>
          <t>Floor</t>
        </is>
      </c>
      <c r="G70" s="60" t="inlineStr">
        <is>
          <t>Active</t>
        </is>
      </c>
      <c r="H70" s="60" t="inlineStr">
        <is>
          <t>ZLLU-B043</t>
        </is>
      </c>
      <c r="I70" s="60" t="n">
        <v>3</v>
      </c>
      <c r="J70" s="60" t="n"/>
      <c r="K70" s="60" t="n">
        <v>36</v>
      </c>
      <c r="L70" s="60" t="n">
        <v>-21</v>
      </c>
      <c r="M70" s="60" t="n">
        <v>15</v>
      </c>
      <c r="N70" s="60" t="n">
        <v>0</v>
      </c>
      <c r="O70" s="60" t="n">
        <v>0</v>
      </c>
      <c r="P70" s="60" t="n">
        <v>-2</v>
      </c>
      <c r="Q70" s="60" t="n">
        <v>41</v>
      </c>
      <c r="R70" s="60" t="n"/>
    </row>
    <row r="71">
      <c r="A71" s="60" t="n">
        <v>662</v>
      </c>
      <c r="B71" s="60" t="inlineStr">
        <is>
          <t>660</t>
        </is>
      </c>
      <c r="C71" s="60" t="inlineStr">
        <is>
          <t>ADJ-UHB12</t>
        </is>
      </c>
      <c r="D71" s="60" t="inlineStr">
        <is>
          <t>Pillars</t>
        </is>
      </c>
      <c r="E71" s="60" t="inlineStr">
        <is>
          <t>Pillars</t>
        </is>
      </c>
      <c r="F71" s="60" t="inlineStr">
        <is>
          <t>Floor</t>
        </is>
      </c>
      <c r="G71" s="60" t="inlineStr">
        <is>
          <t>Active</t>
        </is>
      </c>
      <c r="H71" s="60" t="inlineStr">
        <is>
          <t>ZLLU-B044</t>
        </is>
      </c>
      <c r="I71" s="60" t="n">
        <v>3</v>
      </c>
      <c r="J71" s="60" t="n"/>
      <c r="K71" s="60" t="n">
        <v>36</v>
      </c>
      <c r="L71" s="60" t="n">
        <v>-10</v>
      </c>
      <c r="M71" s="60" t="n">
        <v>28</v>
      </c>
      <c r="N71" s="60" t="n">
        <v>8</v>
      </c>
      <c r="O71" s="60" t="n">
        <v>0</v>
      </c>
      <c r="P71" s="60" t="n">
        <v>-2</v>
      </c>
      <c r="Q71" s="60" t="n">
        <v>42</v>
      </c>
      <c r="R71" s="60" t="n"/>
    </row>
    <row r="72">
      <c r="A72" s="60" t="n">
        <v>663</v>
      </c>
      <c r="B72" s="60" t="inlineStr">
        <is>
          <t>660</t>
        </is>
      </c>
      <c r="C72" s="60" t="inlineStr">
        <is>
          <t>ADJ-UHB12</t>
        </is>
      </c>
      <c r="D72" s="60" t="inlineStr">
        <is>
          <t>Pillars</t>
        </is>
      </c>
      <c r="E72" s="60" t="inlineStr">
        <is>
          <t>Pillars</t>
        </is>
      </c>
      <c r="F72" s="60" t="inlineStr">
        <is>
          <t>Floor</t>
        </is>
      </c>
      <c r="G72" s="60" t="inlineStr">
        <is>
          <t>Active</t>
        </is>
      </c>
      <c r="H72" s="60" t="inlineStr">
        <is>
          <t>ZLLU-B045</t>
        </is>
      </c>
      <c r="I72" s="60" t="n">
        <v>3</v>
      </c>
      <c r="J72" s="60" t="n"/>
      <c r="K72" s="60" t="n">
        <v>36</v>
      </c>
      <c r="L72" s="60" t="n">
        <v>10</v>
      </c>
      <c r="M72" s="60" t="n">
        <v>28</v>
      </c>
      <c r="N72" s="60" t="n">
        <v>8</v>
      </c>
      <c r="O72" s="60" t="n">
        <v>0</v>
      </c>
      <c r="P72" s="60" t="n">
        <v>-2</v>
      </c>
      <c r="Q72" s="60" t="n">
        <v>43</v>
      </c>
      <c r="R72" s="60" t="n"/>
    </row>
    <row r="73">
      <c r="A73" s="60" t="n">
        <v>664</v>
      </c>
      <c r="B73" s="60" t="inlineStr">
        <is>
          <t>660</t>
        </is>
      </c>
      <c r="C73" s="60" t="inlineStr">
        <is>
          <t>ADJ-UHB12</t>
        </is>
      </c>
      <c r="D73" s="60" t="inlineStr">
        <is>
          <t>Pillars</t>
        </is>
      </c>
      <c r="E73" s="60" t="inlineStr">
        <is>
          <t>Pillars</t>
        </is>
      </c>
      <c r="F73" s="60" t="inlineStr">
        <is>
          <t>Floor</t>
        </is>
      </c>
      <c r="G73" s="60" t="inlineStr">
        <is>
          <t>Active</t>
        </is>
      </c>
      <c r="H73" s="60" t="inlineStr">
        <is>
          <t>ZLLU-B046</t>
        </is>
      </c>
      <c r="I73" s="60" t="n">
        <v>3</v>
      </c>
      <c r="J73" s="60" t="n"/>
      <c r="K73" s="60" t="n">
        <v>36</v>
      </c>
      <c r="L73" s="60" t="n">
        <v>21</v>
      </c>
      <c r="M73" s="60" t="n">
        <v>15</v>
      </c>
      <c r="N73" s="60" t="n">
        <v>0</v>
      </c>
      <c r="O73" s="60" t="n">
        <v>0</v>
      </c>
      <c r="P73" s="60" t="n">
        <v>-2</v>
      </c>
      <c r="Q73" s="60" t="n">
        <v>44</v>
      </c>
      <c r="R73" s="60" t="n"/>
    </row>
    <row r="74">
      <c r="A74" s="60" t="n">
        <v>701</v>
      </c>
      <c r="B74" s="60" t="inlineStr">
        <is>
          <t>700</t>
        </is>
      </c>
      <c r="C74" s="60" t="inlineStr">
        <is>
          <t>Acclaim-C1</t>
        </is>
      </c>
      <c r="D74" s="60" t="inlineStr">
        <is>
          <t>PendantsMainA</t>
        </is>
      </c>
      <c r="E74" s="60" t="inlineStr">
        <is>
          <t>Pendant p01</t>
        </is>
      </c>
      <c r="F74" s="60" t="inlineStr">
        <is>
          <t>Main Pendants</t>
        </is>
      </c>
      <c r="G74" s="60" t="inlineStr">
        <is>
          <t>Planned</t>
        </is>
      </c>
      <c r="H74" s="60" t="n"/>
      <c r="I74" s="60" t="n">
        <v>1</v>
      </c>
      <c r="J74" s="60" t="n"/>
      <c r="K74" s="60" t="n">
        <v>13</v>
      </c>
      <c r="L74" s="60" t="n">
        <v>-41</v>
      </c>
      <c r="M74" s="60" t="n">
        <v>-10</v>
      </c>
      <c r="N74" s="60" t="n"/>
      <c r="O74" s="60" t="n"/>
      <c r="P74" s="60" t="n"/>
      <c r="Q74" s="60" t="n"/>
      <c r="R74" s="60" t="n"/>
    </row>
    <row r="75">
      <c r="A75" s="60" t="n">
        <v>702</v>
      </c>
      <c r="B75" s="60" t="inlineStr">
        <is>
          <t>700</t>
        </is>
      </c>
      <c r="C75" s="60" t="inlineStr">
        <is>
          <t>Acclaim-C1</t>
        </is>
      </c>
      <c r="D75" s="60" t="inlineStr">
        <is>
          <t>PendantsMainA</t>
        </is>
      </c>
      <c r="E75" s="60" t="inlineStr">
        <is>
          <t>Pendant p02</t>
        </is>
      </c>
      <c r="F75" s="60" t="inlineStr">
        <is>
          <t>Main Pendants</t>
        </is>
      </c>
      <c r="G75" s="60" t="inlineStr">
        <is>
          <t>Planned</t>
        </is>
      </c>
      <c r="H75" s="60" t="n"/>
      <c r="I75" s="60" t="n">
        <v>1</v>
      </c>
      <c r="J75" s="60" t="n"/>
      <c r="K75" s="60" t="n">
        <v>13</v>
      </c>
      <c r="L75" s="60" t="n">
        <v>-54</v>
      </c>
      <c r="M75" s="60" t="n">
        <v>-22</v>
      </c>
      <c r="N75" s="60" t="n"/>
      <c r="O75" s="60" t="n"/>
      <c r="P75" s="60" t="n"/>
      <c r="Q75" s="60" t="n"/>
      <c r="R75" s="60" t="n"/>
    </row>
    <row r="76">
      <c r="A76" s="60" t="n">
        <v>703</v>
      </c>
      <c r="B76" s="60" t="inlineStr">
        <is>
          <t>700</t>
        </is>
      </c>
      <c r="C76" s="60" t="inlineStr">
        <is>
          <t>Acclaim-C1</t>
        </is>
      </c>
      <c r="D76" s="60" t="inlineStr">
        <is>
          <t>PendantsMainA</t>
        </is>
      </c>
      <c r="E76" s="60" t="inlineStr">
        <is>
          <t>Pendant p05</t>
        </is>
      </c>
      <c r="F76" s="60" t="inlineStr">
        <is>
          <t>Main Pendants</t>
        </is>
      </c>
      <c r="G76" s="60" t="inlineStr">
        <is>
          <t>Planned</t>
        </is>
      </c>
      <c r="H76" s="60" t="n"/>
      <c r="I76" s="60" t="n">
        <v>1</v>
      </c>
      <c r="J76" s="60" t="n"/>
      <c r="K76" s="60" t="n">
        <v>13</v>
      </c>
      <c r="L76" s="60" t="n">
        <v>-42</v>
      </c>
      <c r="M76" s="60" t="n">
        <v>-35</v>
      </c>
      <c r="N76" s="60" t="n"/>
      <c r="O76" s="60" t="n"/>
      <c r="P76" s="60" t="n"/>
      <c r="Q76" s="60" t="n"/>
      <c r="R76" s="60" t="n"/>
    </row>
    <row r="77">
      <c r="A77" s="60" t="n">
        <v>704</v>
      </c>
      <c r="B77" s="60" t="inlineStr">
        <is>
          <t>700</t>
        </is>
      </c>
      <c r="C77" s="60" t="inlineStr">
        <is>
          <t>Acclaim-C1</t>
        </is>
      </c>
      <c r="D77" s="60" t="inlineStr">
        <is>
          <t>PendantsMainA</t>
        </is>
      </c>
      <c r="E77" s="60" t="inlineStr">
        <is>
          <t>Pendant (new)</t>
        </is>
      </c>
      <c r="F77" s="60" t="inlineStr">
        <is>
          <t>Main Pendants</t>
        </is>
      </c>
      <c r="G77" s="60" t="inlineStr">
        <is>
          <t>Planned</t>
        </is>
      </c>
      <c r="H77" s="60" t="n"/>
      <c r="I77" s="60" t="n">
        <v>1</v>
      </c>
      <c r="J77" s="60" t="n"/>
      <c r="K77" s="60" t="n">
        <v>13</v>
      </c>
      <c r="L77" s="60" t="n"/>
      <c r="M77" s="60" t="n"/>
      <c r="N77" s="60" t="n"/>
      <c r="O77" s="60" t="n"/>
      <c r="P77" s="60" t="n"/>
      <c r="Q77" s="60" t="n"/>
      <c r="R77" s="60" t="inlineStr">
        <is>
          <t>New pendant; position TBD</t>
        </is>
      </c>
    </row>
    <row r="78">
      <c r="A78" s="60" t="n">
        <v>711</v>
      </c>
      <c r="B78" s="60" t="inlineStr">
        <is>
          <t>710</t>
        </is>
      </c>
      <c r="C78" s="60" t="inlineStr">
        <is>
          <t>Acclaim-C1</t>
        </is>
      </c>
      <c r="D78" s="60" t="inlineStr">
        <is>
          <t>PendantsMainB</t>
        </is>
      </c>
      <c r="E78" s="60" t="inlineStr">
        <is>
          <t>Pendant p03</t>
        </is>
      </c>
      <c r="F78" s="60" t="inlineStr">
        <is>
          <t>Main Pendants</t>
        </is>
      </c>
      <c r="G78" s="60" t="inlineStr">
        <is>
          <t>Planned</t>
        </is>
      </c>
      <c r="H78" s="60" t="n"/>
      <c r="I78" s="60" t="n">
        <v>1</v>
      </c>
      <c r="J78" s="60" t="n"/>
      <c r="K78" s="60" t="n">
        <v>13</v>
      </c>
      <c r="L78" s="60" t="n">
        <v>-24</v>
      </c>
      <c r="M78" s="60" t="n">
        <v>-8</v>
      </c>
      <c r="N78" s="60" t="n"/>
      <c r="O78" s="60" t="n"/>
      <c r="P78" s="60" t="n"/>
      <c r="Q78" s="60" t="n"/>
      <c r="R78" s="60" t="n"/>
    </row>
    <row r="79">
      <c r="A79" s="60" t="n">
        <v>712</v>
      </c>
      <c r="B79" s="60" t="inlineStr">
        <is>
          <t>710</t>
        </is>
      </c>
      <c r="C79" s="60" t="inlineStr">
        <is>
          <t>Acclaim-C1</t>
        </is>
      </c>
      <c r="D79" s="60" t="inlineStr">
        <is>
          <t>PendantsMainB</t>
        </is>
      </c>
      <c r="E79" s="60" t="inlineStr">
        <is>
          <t>Pendant p04</t>
        </is>
      </c>
      <c r="F79" s="60" t="inlineStr">
        <is>
          <t>Main Pendants</t>
        </is>
      </c>
      <c r="G79" s="60" t="inlineStr">
        <is>
          <t>Planned</t>
        </is>
      </c>
      <c r="H79" s="60" t="n"/>
      <c r="I79" s="60" t="n">
        <v>1</v>
      </c>
      <c r="J79" s="60" t="n"/>
      <c r="K79" s="60" t="n">
        <v>13</v>
      </c>
      <c r="L79" s="60" t="n">
        <v>-32</v>
      </c>
      <c r="M79" s="60" t="n">
        <v>-20</v>
      </c>
      <c r="N79" s="60" t="n"/>
      <c r="O79" s="60" t="n"/>
      <c r="P79" s="60" t="n"/>
      <c r="Q79" s="60" t="n"/>
      <c r="R79" s="60" t="n"/>
    </row>
    <row r="80">
      <c r="A80" s="60" t="n">
        <v>721</v>
      </c>
      <c r="B80" s="60" t="inlineStr">
        <is>
          <t>720</t>
        </is>
      </c>
      <c r="C80" s="60" t="inlineStr">
        <is>
          <t>Acclaim-C1</t>
        </is>
      </c>
      <c r="D80" s="60" t="inlineStr">
        <is>
          <t>PendantsMainC</t>
        </is>
      </c>
      <c r="E80" s="60" t="inlineStr">
        <is>
          <t>Pendant p06</t>
        </is>
      </c>
      <c r="F80" s="60" t="inlineStr">
        <is>
          <t>Main Pendants</t>
        </is>
      </c>
      <c r="G80" s="60" t="inlineStr">
        <is>
          <t>Planned</t>
        </is>
      </c>
      <c r="H80" s="60" t="n"/>
      <c r="I80" s="60" t="n">
        <v>1</v>
      </c>
      <c r="J80" s="60" t="n"/>
      <c r="K80" s="60" t="n">
        <v>13</v>
      </c>
      <c r="L80" s="60" t="n">
        <v>-10</v>
      </c>
      <c r="M80" s="60" t="n">
        <v>-8</v>
      </c>
      <c r="N80" s="60" t="n"/>
      <c r="O80" s="60" t="n"/>
      <c r="P80" s="60" t="n"/>
      <c r="Q80" s="60" t="n"/>
      <c r="R80" s="60" t="n"/>
    </row>
    <row r="81">
      <c r="A81" s="60" t="n">
        <v>722</v>
      </c>
      <c r="B81" s="60" t="inlineStr">
        <is>
          <t>720</t>
        </is>
      </c>
      <c r="C81" s="60" t="inlineStr">
        <is>
          <t>Acclaim-C1</t>
        </is>
      </c>
      <c r="D81" s="60" t="inlineStr">
        <is>
          <t>PendantsMainC</t>
        </is>
      </c>
      <c r="E81" s="60" t="inlineStr">
        <is>
          <t>Pendant p07</t>
        </is>
      </c>
      <c r="F81" s="60" t="inlineStr">
        <is>
          <t>Main Pendants</t>
        </is>
      </c>
      <c r="G81" s="60" t="inlineStr">
        <is>
          <t>Planned</t>
        </is>
      </c>
      <c r="H81" s="60" t="n"/>
      <c r="I81" s="60" t="n">
        <v>1</v>
      </c>
      <c r="J81" s="60" t="n"/>
      <c r="K81" s="60" t="n">
        <v>13</v>
      </c>
      <c r="L81" s="60" t="n">
        <v>-10</v>
      </c>
      <c r="M81" s="60" t="n">
        <v>-17</v>
      </c>
      <c r="N81" s="60" t="n"/>
      <c r="O81" s="60" t="n"/>
      <c r="P81" s="60" t="n"/>
      <c r="Q81" s="60" t="n"/>
      <c r="R81" s="60" t="n"/>
    </row>
    <row r="82">
      <c r="A82" s="60" t="n">
        <v>723</v>
      </c>
      <c r="B82" s="60" t="inlineStr">
        <is>
          <t>720</t>
        </is>
      </c>
      <c r="C82" s="60" t="inlineStr">
        <is>
          <t>Acclaim-C1</t>
        </is>
      </c>
      <c r="D82" s="60" t="inlineStr">
        <is>
          <t>PendantsMainC</t>
        </is>
      </c>
      <c r="E82" s="60" t="inlineStr">
        <is>
          <t>Pendant p08</t>
        </is>
      </c>
      <c r="F82" s="60" t="inlineStr">
        <is>
          <t>Main Pendants</t>
        </is>
      </c>
      <c r="G82" s="60" t="inlineStr">
        <is>
          <t>Planned</t>
        </is>
      </c>
      <c r="H82" s="60" t="n"/>
      <c r="I82" s="60" t="n">
        <v>1</v>
      </c>
      <c r="J82" s="60" t="n"/>
      <c r="K82" s="60" t="n">
        <v>13</v>
      </c>
      <c r="L82" s="60" t="n">
        <v>-10</v>
      </c>
      <c r="M82" s="60" t="n">
        <v>-27</v>
      </c>
      <c r="N82" s="60" t="n"/>
      <c r="O82" s="60" t="n"/>
      <c r="P82" s="60" t="n"/>
      <c r="Q82" s="60" t="n"/>
      <c r="R82" s="60" t="n"/>
    </row>
    <row r="83">
      <c r="A83" s="60" t="n">
        <v>724</v>
      </c>
      <c r="B83" s="60" t="inlineStr">
        <is>
          <t>720</t>
        </is>
      </c>
      <c r="C83" s="60" t="inlineStr">
        <is>
          <t>Acclaim-C1</t>
        </is>
      </c>
      <c r="D83" s="60" t="inlineStr">
        <is>
          <t>PendantsMainC</t>
        </is>
      </c>
      <c r="E83" s="60" t="inlineStr">
        <is>
          <t>Pendant p09</t>
        </is>
      </c>
      <c r="F83" s="60" t="inlineStr">
        <is>
          <t>Main Pendants</t>
        </is>
      </c>
      <c r="G83" s="60" t="inlineStr">
        <is>
          <t>Planned</t>
        </is>
      </c>
      <c r="H83" s="60" t="n"/>
      <c r="I83" s="60" t="n">
        <v>1</v>
      </c>
      <c r="J83" s="60" t="n"/>
      <c r="K83" s="60" t="n">
        <v>13</v>
      </c>
      <c r="L83" s="60" t="n">
        <v>10</v>
      </c>
      <c r="M83" s="60" t="n">
        <v>-8</v>
      </c>
      <c r="N83" s="60" t="n"/>
      <c r="O83" s="60" t="n"/>
      <c r="P83" s="60" t="n"/>
      <c r="Q83" s="60" t="n"/>
      <c r="R83" s="60" t="n"/>
    </row>
    <row r="84">
      <c r="A84" s="60" t="n">
        <v>725</v>
      </c>
      <c r="B84" s="60" t="inlineStr">
        <is>
          <t>720</t>
        </is>
      </c>
      <c r="C84" s="60" t="inlineStr">
        <is>
          <t>Acclaim-C1</t>
        </is>
      </c>
      <c r="D84" s="60" t="inlineStr">
        <is>
          <t>PendantsMainC</t>
        </is>
      </c>
      <c r="E84" s="60" t="inlineStr">
        <is>
          <t>Pendant p10</t>
        </is>
      </c>
      <c r="F84" s="60" t="inlineStr">
        <is>
          <t>Main Pendants</t>
        </is>
      </c>
      <c r="G84" s="60" t="inlineStr">
        <is>
          <t>Planned</t>
        </is>
      </c>
      <c r="H84" s="60" t="n"/>
      <c r="I84" s="60" t="n">
        <v>1</v>
      </c>
      <c r="J84" s="60" t="n"/>
      <c r="K84" s="60" t="n">
        <v>13</v>
      </c>
      <c r="L84" s="60" t="n">
        <v>10</v>
      </c>
      <c r="M84" s="60" t="n">
        <v>-17</v>
      </c>
      <c r="N84" s="60" t="n"/>
      <c r="O84" s="60" t="n"/>
      <c r="P84" s="60" t="n"/>
      <c r="Q84" s="60" t="n"/>
      <c r="R84" s="60" t="n"/>
    </row>
    <row r="85">
      <c r="A85" s="60" t="n">
        <v>726</v>
      </c>
      <c r="B85" s="60" t="inlineStr">
        <is>
          <t>720</t>
        </is>
      </c>
      <c r="C85" s="60" t="inlineStr">
        <is>
          <t>Acclaim-C1</t>
        </is>
      </c>
      <c r="D85" s="60" t="inlineStr">
        <is>
          <t>PendantsMainC</t>
        </is>
      </c>
      <c r="E85" s="60" t="inlineStr">
        <is>
          <t>Pendant p11</t>
        </is>
      </c>
      <c r="F85" s="60" t="inlineStr">
        <is>
          <t>Main Pendants</t>
        </is>
      </c>
      <c r="G85" s="60" t="inlineStr">
        <is>
          <t>Planned</t>
        </is>
      </c>
      <c r="H85" s="60" t="n"/>
      <c r="I85" s="60" t="n">
        <v>1</v>
      </c>
      <c r="J85" s="60" t="n"/>
      <c r="K85" s="60" t="n">
        <v>13</v>
      </c>
      <c r="L85" s="60" t="n">
        <v>10</v>
      </c>
      <c r="M85" s="60" t="n">
        <v>-27</v>
      </c>
      <c r="N85" s="60" t="n"/>
      <c r="O85" s="60" t="n"/>
      <c r="P85" s="60" t="n"/>
      <c r="Q85" s="60" t="n"/>
      <c r="R85" s="60" t="n"/>
    </row>
    <row r="86">
      <c r="A86" s="60" t="n">
        <v>751</v>
      </c>
      <c r="B86" s="60" t="inlineStr">
        <is>
          <t>750</t>
        </is>
      </c>
      <c r="C86" s="60" t="inlineStr">
        <is>
          <t>Acclaim-C1</t>
        </is>
      </c>
      <c r="D86" s="60" t="inlineStr">
        <is>
          <t>PendantsMainD</t>
        </is>
      </c>
      <c r="E86" s="60" t="inlineStr">
        <is>
          <t>Pendant p12</t>
        </is>
      </c>
      <c r="F86" s="60" t="inlineStr">
        <is>
          <t>Main Pendants</t>
        </is>
      </c>
      <c r="G86" s="60" t="inlineStr">
        <is>
          <t>Planned</t>
        </is>
      </c>
      <c r="H86" s="60" t="n"/>
      <c r="I86" s="60" t="n">
        <v>1</v>
      </c>
      <c r="J86" s="60" t="n"/>
      <c r="K86" s="60" t="n">
        <v>13</v>
      </c>
      <c r="L86" s="60" t="n">
        <v>24</v>
      </c>
      <c r="M86" s="60" t="n">
        <v>-8</v>
      </c>
      <c r="N86" s="60" t="n"/>
      <c r="O86" s="60" t="n"/>
      <c r="P86" s="60" t="n"/>
      <c r="Q86" s="60" t="n"/>
      <c r="R86" s="60" t="n"/>
    </row>
    <row r="87">
      <c r="A87" s="60" t="n">
        <v>752</v>
      </c>
      <c r="B87" s="60" t="inlineStr">
        <is>
          <t>750</t>
        </is>
      </c>
      <c r="C87" s="60" t="inlineStr">
        <is>
          <t>Acclaim-C1</t>
        </is>
      </c>
      <c r="D87" s="60" t="inlineStr">
        <is>
          <t>PendantsMainD</t>
        </is>
      </c>
      <c r="E87" s="60" t="inlineStr">
        <is>
          <t>Pendant p13</t>
        </is>
      </c>
      <c r="F87" s="60" t="inlineStr">
        <is>
          <t>Main Pendants</t>
        </is>
      </c>
      <c r="G87" s="60" t="inlineStr">
        <is>
          <t>Planned</t>
        </is>
      </c>
      <c r="H87" s="60" t="n"/>
      <c r="I87" s="60" t="n">
        <v>1</v>
      </c>
      <c r="J87" s="60" t="n"/>
      <c r="K87" s="60" t="n">
        <v>13</v>
      </c>
      <c r="L87" s="60" t="n">
        <v>32</v>
      </c>
      <c r="M87" s="60" t="n">
        <v>-20</v>
      </c>
      <c r="N87" s="60" t="n"/>
      <c r="O87" s="60" t="n"/>
      <c r="P87" s="60" t="n"/>
      <c r="Q87" s="60" t="n"/>
      <c r="R87" s="60" t="n"/>
    </row>
    <row r="88">
      <c r="A88" s="60" t="n">
        <v>761</v>
      </c>
      <c r="B88" s="60" t="inlineStr">
        <is>
          <t>760</t>
        </is>
      </c>
      <c r="C88" s="60" t="inlineStr">
        <is>
          <t>Acclaim-C1</t>
        </is>
      </c>
      <c r="D88" s="60" t="inlineStr">
        <is>
          <t>PendantsMainE</t>
        </is>
      </c>
      <c r="E88" s="60" t="inlineStr">
        <is>
          <t>Pendant p15</t>
        </is>
      </c>
      <c r="F88" s="60" t="inlineStr">
        <is>
          <t>Main Pendants</t>
        </is>
      </c>
      <c r="G88" s="60" t="inlineStr">
        <is>
          <t>Planned</t>
        </is>
      </c>
      <c r="H88" s="60" t="n"/>
      <c r="I88" s="60" t="n">
        <v>1</v>
      </c>
      <c r="J88" s="60" t="n"/>
      <c r="K88" s="60" t="n">
        <v>13</v>
      </c>
      <c r="L88" s="60" t="n">
        <v>41</v>
      </c>
      <c r="M88" s="60" t="n">
        <v>-10</v>
      </c>
      <c r="N88" s="60" t="n"/>
      <c r="O88" s="60" t="n"/>
      <c r="P88" s="60" t="n"/>
      <c r="Q88" s="60" t="n"/>
      <c r="R88" s="60" t="n"/>
    </row>
    <row r="89">
      <c r="A89" s="60" t="n">
        <v>762</v>
      </c>
      <c r="B89" s="60" t="inlineStr">
        <is>
          <t>760</t>
        </is>
      </c>
      <c r="C89" s="60" t="inlineStr">
        <is>
          <t>Acclaim-C1</t>
        </is>
      </c>
      <c r="D89" s="60" t="inlineStr">
        <is>
          <t>PendantsMainE</t>
        </is>
      </c>
      <c r="E89" s="60" t="inlineStr">
        <is>
          <t>Pendant p16</t>
        </is>
      </c>
      <c r="F89" s="60" t="inlineStr">
        <is>
          <t>Main Pendants</t>
        </is>
      </c>
      <c r="G89" s="60" t="inlineStr">
        <is>
          <t>Planned</t>
        </is>
      </c>
      <c r="H89" s="60" t="n"/>
      <c r="I89" s="60" t="n">
        <v>1</v>
      </c>
      <c r="J89" s="60" t="n"/>
      <c r="K89" s="60" t="n">
        <v>13</v>
      </c>
      <c r="L89" s="60" t="n">
        <v>54</v>
      </c>
      <c r="M89" s="60" t="n">
        <v>-22</v>
      </c>
      <c r="N89" s="60" t="n"/>
      <c r="O89" s="60" t="n"/>
      <c r="P89" s="60" t="n"/>
      <c r="Q89" s="60" t="n"/>
      <c r="R89" s="60" t="n"/>
    </row>
    <row r="90">
      <c r="A90" s="60" t="n">
        <v>763</v>
      </c>
      <c r="B90" s="60" t="inlineStr">
        <is>
          <t>760</t>
        </is>
      </c>
      <c r="C90" s="60" t="inlineStr">
        <is>
          <t>Acclaim-C1</t>
        </is>
      </c>
      <c r="D90" s="60" t="inlineStr">
        <is>
          <t>PendantsMainE</t>
        </is>
      </c>
      <c r="E90" s="60" t="inlineStr">
        <is>
          <t>Pendant p14</t>
        </is>
      </c>
      <c r="F90" s="60" t="inlineStr">
        <is>
          <t>Main Pendants</t>
        </is>
      </c>
      <c r="G90" s="60" t="inlineStr">
        <is>
          <t>Planned</t>
        </is>
      </c>
      <c r="H90" s="60" t="n"/>
      <c r="I90" s="60" t="n">
        <v>1</v>
      </c>
      <c r="J90" s="60" t="n"/>
      <c r="K90" s="60" t="n">
        <v>13</v>
      </c>
      <c r="L90" s="60" t="n">
        <v>42</v>
      </c>
      <c r="M90" s="60" t="n">
        <v>-35</v>
      </c>
      <c r="N90" s="60" t="n"/>
      <c r="O90" s="60" t="n"/>
      <c r="P90" s="60" t="n"/>
      <c r="Q90" s="60" t="n"/>
      <c r="R90" s="60" t="n"/>
    </row>
    <row r="91">
      <c r="A91" s="60" t="n">
        <v>764</v>
      </c>
      <c r="B91" s="60" t="inlineStr">
        <is>
          <t>760</t>
        </is>
      </c>
      <c r="C91" s="60" t="inlineStr">
        <is>
          <t>Acclaim-C1</t>
        </is>
      </c>
      <c r="D91" s="60" t="inlineStr">
        <is>
          <t>PendantsMainE</t>
        </is>
      </c>
      <c r="E91" s="60" t="inlineStr">
        <is>
          <t>Pendant (new)</t>
        </is>
      </c>
      <c r="F91" s="60" t="inlineStr">
        <is>
          <t>Main Pendants</t>
        </is>
      </c>
      <c r="G91" s="60" t="inlineStr">
        <is>
          <t>Planned</t>
        </is>
      </c>
      <c r="H91" s="60" t="n"/>
      <c r="I91" s="60" t="n">
        <v>1</v>
      </c>
      <c r="J91" s="60" t="n"/>
      <c r="K91" s="60" t="n">
        <v>13</v>
      </c>
      <c r="L91" s="60" t="n"/>
      <c r="M91" s="60" t="n"/>
      <c r="N91" s="60" t="n"/>
      <c r="O91" s="60" t="n"/>
      <c r="P91" s="60" t="n"/>
      <c r="Q91" s="60" t="n"/>
      <c r="R91" s="60" t="inlineStr">
        <is>
          <t>New pendant; position TBD</t>
        </is>
      </c>
    </row>
    <row r="92">
      <c r="A92" s="60" t="n">
        <v>771</v>
      </c>
      <c r="B92" s="60" t="inlineStr">
        <is>
          <t>770</t>
        </is>
      </c>
      <c r="C92" s="60" t="inlineStr">
        <is>
          <t>Acclaim-C1</t>
        </is>
      </c>
      <c r="D92" s="60" t="inlineStr">
        <is>
          <t>PendantsBalconyB</t>
        </is>
      </c>
      <c r="E92" s="60" t="inlineStr">
        <is>
          <t>Pendant p17</t>
        </is>
      </c>
      <c r="F92" s="60" t="inlineStr">
        <is>
          <t>Balcony Pendants</t>
        </is>
      </c>
      <c r="G92" s="60" t="inlineStr">
        <is>
          <t>Planned</t>
        </is>
      </c>
      <c r="H92" s="60" t="n"/>
      <c r="I92" s="60" t="n">
        <v>1</v>
      </c>
      <c r="J92" s="60" t="n"/>
      <c r="K92" s="60" t="n">
        <v>13</v>
      </c>
      <c r="L92" s="60" t="n">
        <v>-25</v>
      </c>
      <c r="M92" s="60" t="n">
        <v>-45</v>
      </c>
      <c r="N92" s="60" t="n"/>
      <c r="O92" s="60" t="n"/>
      <c r="P92" s="60" t="n"/>
      <c r="Q92" s="60" t="n"/>
      <c r="R92" s="60" t="n"/>
    </row>
    <row r="93">
      <c r="A93" s="60" t="n">
        <v>772</v>
      </c>
      <c r="B93" s="60" t="inlineStr">
        <is>
          <t>770</t>
        </is>
      </c>
      <c r="C93" s="60" t="inlineStr">
        <is>
          <t>Acclaim-C1</t>
        </is>
      </c>
      <c r="D93" s="60" t="inlineStr">
        <is>
          <t>PendantsBalconyB</t>
        </is>
      </c>
      <c r="E93" s="60" t="inlineStr">
        <is>
          <t>Pendant (new)</t>
        </is>
      </c>
      <c r="F93" s="60" t="inlineStr">
        <is>
          <t>Balcony Pendants</t>
        </is>
      </c>
      <c r="G93" s="60" t="inlineStr">
        <is>
          <t>Planned</t>
        </is>
      </c>
      <c r="H93" s="60" t="n"/>
      <c r="I93" s="60" t="n">
        <v>1</v>
      </c>
      <c r="J93" s="60" t="n"/>
      <c r="K93" s="60" t="n">
        <v>13</v>
      </c>
      <c r="L93" s="60" t="n"/>
      <c r="M93" s="60" t="n"/>
      <c r="N93" s="60" t="n"/>
      <c r="O93" s="60" t="n"/>
      <c r="P93" s="60" t="n"/>
      <c r="Q93" s="60" t="n"/>
      <c r="R93" s="60" t="inlineStr">
        <is>
          <t>New pendant; position TBD</t>
        </is>
      </c>
    </row>
    <row r="94">
      <c r="A94" s="60" t="n">
        <v>781</v>
      </c>
      <c r="B94" s="60" t="inlineStr">
        <is>
          <t>780</t>
        </is>
      </c>
      <c r="C94" s="60" t="inlineStr">
        <is>
          <t>Acclaim-C1</t>
        </is>
      </c>
      <c r="D94" s="60" t="inlineStr">
        <is>
          <t>PendantsBalconyC</t>
        </is>
      </c>
      <c r="E94" s="60" t="inlineStr">
        <is>
          <t>Pendant p18</t>
        </is>
      </c>
      <c r="F94" s="60" t="inlineStr">
        <is>
          <t>Balcony Pendants</t>
        </is>
      </c>
      <c r="G94" s="60" t="inlineStr">
        <is>
          <t>Planned</t>
        </is>
      </c>
      <c r="H94" s="60" t="n"/>
      <c r="I94" s="60" t="n">
        <v>1</v>
      </c>
      <c r="J94" s="60" t="n"/>
      <c r="K94" s="60" t="n">
        <v>13</v>
      </c>
      <c r="L94" s="60" t="n">
        <v>-5</v>
      </c>
      <c r="M94" s="60" t="n">
        <v>-43</v>
      </c>
      <c r="N94" s="60" t="n"/>
      <c r="O94" s="60" t="n"/>
      <c r="P94" s="60" t="n"/>
      <c r="Q94" s="60" t="n"/>
      <c r="R94" s="60" t="n"/>
    </row>
    <row r="95">
      <c r="A95" s="60" t="n">
        <v>782</v>
      </c>
      <c r="B95" s="60" t="inlineStr">
        <is>
          <t>780</t>
        </is>
      </c>
      <c r="C95" s="60" t="inlineStr">
        <is>
          <t>Acclaim-C1</t>
        </is>
      </c>
      <c r="D95" s="60" t="inlineStr">
        <is>
          <t>PendantsBalconyC</t>
        </is>
      </c>
      <c r="E95" s="60" t="inlineStr">
        <is>
          <t>Pendant p19</t>
        </is>
      </c>
      <c r="F95" s="60" t="inlineStr">
        <is>
          <t>Balcony Pendants</t>
        </is>
      </c>
      <c r="G95" s="60" t="inlineStr">
        <is>
          <t>Planned</t>
        </is>
      </c>
      <c r="H95" s="60" t="n"/>
      <c r="I95" s="60" t="n">
        <v>1</v>
      </c>
      <c r="J95" s="60" t="n"/>
      <c r="K95" s="60" t="n">
        <v>13</v>
      </c>
      <c r="L95" s="60" t="n">
        <v>5</v>
      </c>
      <c r="M95" s="60" t="n">
        <v>-43</v>
      </c>
      <c r="N95" s="60" t="n"/>
      <c r="O95" s="60" t="n"/>
      <c r="P95" s="60" t="n"/>
      <c r="Q95" s="60" t="n"/>
      <c r="R95" s="60" t="n"/>
    </row>
    <row r="96">
      <c r="A96" s="60" t="n">
        <v>791</v>
      </c>
      <c r="B96" s="60" t="inlineStr">
        <is>
          <t>790</t>
        </is>
      </c>
      <c r="C96" s="60" t="inlineStr">
        <is>
          <t>Acclaim-C1</t>
        </is>
      </c>
      <c r="D96" s="60" t="inlineStr">
        <is>
          <t>PendantsBalconyD</t>
        </is>
      </c>
      <c r="E96" s="60" t="inlineStr">
        <is>
          <t>Pendant p20</t>
        </is>
      </c>
      <c r="F96" s="60" t="inlineStr">
        <is>
          <t>Balcony Pendants</t>
        </is>
      </c>
      <c r="G96" s="60" t="inlineStr">
        <is>
          <t>Planned</t>
        </is>
      </c>
      <c r="H96" s="60" t="n"/>
      <c r="I96" s="60" t="n">
        <v>1</v>
      </c>
      <c r="J96" s="60" t="n"/>
      <c r="K96" s="60" t="n">
        <v>13</v>
      </c>
      <c r="L96" s="60" t="n">
        <v>25</v>
      </c>
      <c r="M96" s="60" t="n">
        <v>-45</v>
      </c>
      <c r="N96" s="60" t="n"/>
      <c r="O96" s="60" t="n"/>
      <c r="P96" s="60" t="n"/>
      <c r="Q96" s="60" t="n"/>
      <c r="R96" s="60" t="n"/>
    </row>
    <row r="97">
      <c r="A97" s="60" t="n">
        <v>792</v>
      </c>
      <c r="B97" s="60" t="inlineStr">
        <is>
          <t>790</t>
        </is>
      </c>
      <c r="C97" s="60" t="inlineStr">
        <is>
          <t>Acclaim-C1</t>
        </is>
      </c>
      <c r="D97" s="60" t="inlineStr">
        <is>
          <t>PendantsBalconyD</t>
        </is>
      </c>
      <c r="E97" s="60" t="inlineStr">
        <is>
          <t>Pendant (new)</t>
        </is>
      </c>
      <c r="F97" s="60" t="inlineStr">
        <is>
          <t>Balcony Pendants</t>
        </is>
      </c>
      <c r="G97" s="60" t="inlineStr">
        <is>
          <t>Planned</t>
        </is>
      </c>
      <c r="H97" s="60" t="n"/>
      <c r="I97" s="60" t="n">
        <v>1</v>
      </c>
      <c r="J97" s="60" t="n"/>
      <c r="K97" s="60" t="n">
        <v>13</v>
      </c>
      <c r="L97" s="60" t="n"/>
      <c r="M97" s="60" t="n"/>
      <c r="N97" s="60" t="n"/>
      <c r="O97" s="60" t="n"/>
      <c r="P97" s="60" t="n"/>
      <c r="Q97" s="60" t="n"/>
      <c r="R97" s="60" t="inlineStr">
        <is>
          <t>New pendant; position TBD</t>
        </is>
      </c>
    </row>
    <row r="98">
      <c r="A98" s="60" t="n">
        <v>821</v>
      </c>
      <c r="B98" s="60" t="inlineStr">
        <is>
          <t>820</t>
        </is>
      </c>
      <c r="C98" s="60" t="inlineStr">
        <is>
          <t>Acclaim-C1</t>
        </is>
      </c>
      <c r="D98" s="60" t="inlineStr">
        <is>
          <t>SconceA</t>
        </is>
      </c>
      <c r="E98" s="60" t="inlineStr">
        <is>
          <t>Sconce 1</t>
        </is>
      </c>
      <c r="F98" s="60" t="inlineStr">
        <is>
          <t>Main floor perimeter</t>
        </is>
      </c>
      <c r="G98" s="60" t="inlineStr">
        <is>
          <t>Planned</t>
        </is>
      </c>
      <c r="H98" s="60" t="n"/>
      <c r="I98" s="60" t="n">
        <v>1</v>
      </c>
      <c r="J98" s="60" t="n"/>
      <c r="K98" s="60" t="n">
        <v>13</v>
      </c>
      <c r="L98" s="60" t="n">
        <v>-39</v>
      </c>
      <c r="M98" s="60" t="n">
        <v>-3</v>
      </c>
      <c r="N98" s="60" t="n"/>
      <c r="O98" s="60" t="n"/>
      <c r="P98" s="60" t="n"/>
      <c r="Q98" s="60" t="n"/>
      <c r="R98" s="60" t="n"/>
    </row>
    <row r="99">
      <c r="A99" s="60" t="n">
        <v>822</v>
      </c>
      <c r="B99" s="60" t="inlineStr">
        <is>
          <t>820</t>
        </is>
      </c>
      <c r="C99" s="60" t="inlineStr">
        <is>
          <t>Acclaim-C1</t>
        </is>
      </c>
      <c r="D99" s="60" t="inlineStr">
        <is>
          <t>SconceA</t>
        </is>
      </c>
      <c r="E99" s="60" t="inlineStr">
        <is>
          <t>Sconce 2</t>
        </is>
      </c>
      <c r="F99" s="60" t="inlineStr">
        <is>
          <t>Main floor perimeter</t>
        </is>
      </c>
      <c r="G99" s="60" t="inlineStr">
        <is>
          <t>Planned</t>
        </is>
      </c>
      <c r="H99" s="60" t="n"/>
      <c r="I99" s="60" t="n">
        <v>1</v>
      </c>
      <c r="J99" s="60" t="n"/>
      <c r="K99" s="60" t="n">
        <v>13</v>
      </c>
      <c r="L99" s="60" t="n">
        <v>-45</v>
      </c>
      <c r="M99" s="60" t="n">
        <v>-9</v>
      </c>
      <c r="N99" s="60" t="n"/>
      <c r="O99" s="60" t="n"/>
      <c r="P99" s="60" t="n"/>
      <c r="Q99" s="60" t="n"/>
      <c r="R99" s="60" t="n"/>
    </row>
    <row r="100">
      <c r="A100" s="60" t="n">
        <v>823</v>
      </c>
      <c r="B100" s="60" t="inlineStr">
        <is>
          <t>820</t>
        </is>
      </c>
      <c r="C100" s="60" t="inlineStr">
        <is>
          <t>Acclaim-C1</t>
        </is>
      </c>
      <c r="D100" s="60" t="inlineStr">
        <is>
          <t>SconceA</t>
        </is>
      </c>
      <c r="E100" s="60" t="inlineStr">
        <is>
          <t>Sconce 3</t>
        </is>
      </c>
      <c r="F100" s="60" t="inlineStr">
        <is>
          <t>Main floor perimeter</t>
        </is>
      </c>
      <c r="G100" s="60" t="inlineStr">
        <is>
          <t>Planned</t>
        </is>
      </c>
      <c r="H100" s="60" t="n"/>
      <c r="I100" s="60" t="n">
        <v>1</v>
      </c>
      <c r="J100" s="60" t="n"/>
      <c r="K100" s="60" t="n">
        <v>13</v>
      </c>
      <c r="L100" s="60" t="n">
        <v>-51</v>
      </c>
      <c r="M100" s="60" t="n">
        <v>-15</v>
      </c>
      <c r="N100" s="60" t="n"/>
      <c r="O100" s="60" t="n"/>
      <c r="P100" s="60" t="n"/>
      <c r="Q100" s="60" t="n"/>
      <c r="R100" s="60" t="n"/>
    </row>
    <row r="101">
      <c r="A101" s="60" t="n">
        <v>824</v>
      </c>
      <c r="B101" s="60" t="inlineStr">
        <is>
          <t>820</t>
        </is>
      </c>
      <c r="C101" s="60" t="inlineStr">
        <is>
          <t>Acclaim-C1</t>
        </is>
      </c>
      <c r="D101" s="60" t="inlineStr">
        <is>
          <t>SconceA</t>
        </is>
      </c>
      <c r="E101" s="60" t="inlineStr">
        <is>
          <t>Sconce 4</t>
        </is>
      </c>
      <c r="F101" s="60" t="inlineStr">
        <is>
          <t>Main floor perimeter</t>
        </is>
      </c>
      <c r="G101" s="60" t="inlineStr">
        <is>
          <t>Planned</t>
        </is>
      </c>
      <c r="H101" s="60" t="n"/>
      <c r="I101" s="60" t="n">
        <v>1</v>
      </c>
      <c r="J101" s="60" t="n"/>
      <c r="K101" s="60" t="n">
        <v>13</v>
      </c>
      <c r="L101" s="60" t="n">
        <v>-57</v>
      </c>
      <c r="M101" s="60" t="n">
        <v>-21</v>
      </c>
      <c r="N101" s="60" t="n"/>
      <c r="O101" s="60" t="n"/>
      <c r="P101" s="60" t="n"/>
      <c r="Q101" s="60" t="n"/>
      <c r="R101" s="60" t="n"/>
    </row>
    <row r="102">
      <c r="A102" s="60" t="n">
        <v>825</v>
      </c>
      <c r="B102" s="60" t="inlineStr">
        <is>
          <t>820</t>
        </is>
      </c>
      <c r="C102" s="60" t="inlineStr">
        <is>
          <t>Acclaim-C1</t>
        </is>
      </c>
      <c r="D102" s="60" t="inlineStr">
        <is>
          <t>SconceA</t>
        </is>
      </c>
      <c r="E102" s="60" t="inlineStr">
        <is>
          <t>Sconce 5</t>
        </is>
      </c>
      <c r="F102" s="60" t="inlineStr">
        <is>
          <t>Main floor perimeter</t>
        </is>
      </c>
      <c r="G102" s="60" t="inlineStr">
        <is>
          <t>Planned</t>
        </is>
      </c>
      <c r="H102" s="60" t="n"/>
      <c r="I102" s="60" t="n">
        <v>1</v>
      </c>
      <c r="J102" s="60" t="n"/>
      <c r="K102" s="60" t="n">
        <v>13</v>
      </c>
      <c r="L102" s="60" t="n">
        <v>-49</v>
      </c>
      <c r="M102" s="60" t="n">
        <v>-32</v>
      </c>
      <c r="N102" s="60" t="n"/>
      <c r="O102" s="60" t="n"/>
      <c r="P102" s="60" t="n"/>
      <c r="Q102" s="60" t="n"/>
      <c r="R102" s="60" t="n"/>
    </row>
    <row r="103">
      <c r="A103" s="60" t="n">
        <v>826</v>
      </c>
      <c r="B103" s="60" t="inlineStr">
        <is>
          <t>820</t>
        </is>
      </c>
      <c r="C103" s="60" t="inlineStr">
        <is>
          <t>Acclaim-C1</t>
        </is>
      </c>
      <c r="D103" s="60" t="inlineStr">
        <is>
          <t>SconceA</t>
        </is>
      </c>
      <c r="E103" s="60" t="inlineStr">
        <is>
          <t>Sconce 6</t>
        </is>
      </c>
      <c r="F103" s="60" t="inlineStr">
        <is>
          <t>Main floor perimeter</t>
        </is>
      </c>
      <c r="G103" s="60" t="inlineStr">
        <is>
          <t>Planned</t>
        </is>
      </c>
      <c r="H103" s="60" t="n"/>
      <c r="I103" s="60" t="n">
        <v>1</v>
      </c>
      <c r="J103" s="60" t="n"/>
      <c r="K103" s="60" t="n">
        <v>13</v>
      </c>
      <c r="L103" s="60" t="n">
        <v>-40</v>
      </c>
      <c r="M103" s="60" t="n">
        <v>-41</v>
      </c>
      <c r="N103" s="60" t="n"/>
      <c r="O103" s="60" t="n"/>
      <c r="P103" s="60" t="n"/>
      <c r="Q103" s="60" t="n"/>
      <c r="R103" s="60" t="n"/>
    </row>
    <row r="104">
      <c r="A104" s="60" t="n">
        <v>831</v>
      </c>
      <c r="B104" s="60" t="inlineStr">
        <is>
          <t>830</t>
        </is>
      </c>
      <c r="C104" s="60" t="inlineStr">
        <is>
          <t>Acclaim-C1</t>
        </is>
      </c>
      <c r="D104" s="60" t="inlineStr">
        <is>
          <t>SconceE</t>
        </is>
      </c>
      <c r="E104" s="60" t="inlineStr">
        <is>
          <t>Sconce 7</t>
        </is>
      </c>
      <c r="F104" s="60" t="inlineStr">
        <is>
          <t>Main floor perimeter</t>
        </is>
      </c>
      <c r="G104" s="60" t="inlineStr">
        <is>
          <t>Planned</t>
        </is>
      </c>
      <c r="H104" s="60" t="n"/>
      <c r="I104" s="60" t="n">
        <v>1</v>
      </c>
      <c r="J104" s="60" t="n"/>
      <c r="K104" s="60" t="n">
        <v>13</v>
      </c>
      <c r="L104" s="60" t="n">
        <v>39</v>
      </c>
      <c r="M104" s="60" t="n">
        <v>-3</v>
      </c>
      <c r="N104" s="60" t="n"/>
      <c r="O104" s="60" t="n"/>
      <c r="P104" s="60" t="n"/>
      <c r="Q104" s="60" t="n"/>
      <c r="R104" s="60" t="n"/>
    </row>
    <row r="105">
      <c r="A105" s="60" t="n">
        <v>832</v>
      </c>
      <c r="B105" s="60" t="inlineStr">
        <is>
          <t>830</t>
        </is>
      </c>
      <c r="C105" s="60" t="inlineStr">
        <is>
          <t>Acclaim-C1</t>
        </is>
      </c>
      <c r="D105" s="60" t="inlineStr">
        <is>
          <t>SconceE</t>
        </is>
      </c>
      <c r="E105" s="60" t="inlineStr">
        <is>
          <t>Sconce 8</t>
        </is>
      </c>
      <c r="F105" s="60" t="inlineStr">
        <is>
          <t>Main floor perimeter</t>
        </is>
      </c>
      <c r="G105" s="60" t="inlineStr">
        <is>
          <t>Planned</t>
        </is>
      </c>
      <c r="H105" s="60" t="n"/>
      <c r="I105" s="60" t="n">
        <v>1</v>
      </c>
      <c r="J105" s="60" t="n"/>
      <c r="K105" s="60" t="n">
        <v>13</v>
      </c>
      <c r="L105" s="60" t="n">
        <v>45</v>
      </c>
      <c r="M105" s="60" t="n">
        <v>-9</v>
      </c>
      <c r="N105" s="60" t="n"/>
      <c r="O105" s="60" t="n"/>
      <c r="P105" s="60" t="n"/>
      <c r="Q105" s="60" t="n"/>
      <c r="R105" s="60" t="n"/>
    </row>
    <row r="106">
      <c r="A106" s="60" t="n">
        <v>833</v>
      </c>
      <c r="B106" s="60" t="inlineStr">
        <is>
          <t>830</t>
        </is>
      </c>
      <c r="C106" s="60" t="inlineStr">
        <is>
          <t>Acclaim-C1</t>
        </is>
      </c>
      <c r="D106" s="60" t="inlineStr">
        <is>
          <t>SconceE</t>
        </is>
      </c>
      <c r="E106" s="60" t="inlineStr">
        <is>
          <t>Sconce 9</t>
        </is>
      </c>
      <c r="F106" s="60" t="inlineStr">
        <is>
          <t>Main floor perimeter</t>
        </is>
      </c>
      <c r="G106" s="60" t="inlineStr">
        <is>
          <t>Planned</t>
        </is>
      </c>
      <c r="H106" s="60" t="n"/>
      <c r="I106" s="60" t="n">
        <v>1</v>
      </c>
      <c r="J106" s="60" t="n"/>
      <c r="K106" s="60" t="n">
        <v>13</v>
      </c>
      <c r="L106" s="60" t="n">
        <v>51</v>
      </c>
      <c r="M106" s="60" t="n">
        <v>-15</v>
      </c>
      <c r="N106" s="60" t="n"/>
      <c r="O106" s="60" t="n"/>
      <c r="P106" s="60" t="n"/>
      <c r="Q106" s="60" t="n"/>
      <c r="R106" s="60" t="n"/>
    </row>
    <row r="107">
      <c r="A107" s="60" t="n">
        <v>834</v>
      </c>
      <c r="B107" s="60" t="inlineStr">
        <is>
          <t>830</t>
        </is>
      </c>
      <c r="C107" s="60" t="inlineStr">
        <is>
          <t>Acclaim-C1</t>
        </is>
      </c>
      <c r="D107" s="60" t="inlineStr">
        <is>
          <t>SconceE</t>
        </is>
      </c>
      <c r="E107" s="60" t="inlineStr">
        <is>
          <t>Sconce 10</t>
        </is>
      </c>
      <c r="F107" s="60" t="inlineStr">
        <is>
          <t>Main floor perimeter</t>
        </is>
      </c>
      <c r="G107" s="60" t="inlineStr">
        <is>
          <t>Planned</t>
        </is>
      </c>
      <c r="H107" s="60" t="n"/>
      <c r="I107" s="60" t="n">
        <v>1</v>
      </c>
      <c r="J107" s="60" t="n"/>
      <c r="K107" s="60" t="n">
        <v>13</v>
      </c>
      <c r="L107" s="60" t="n">
        <v>57</v>
      </c>
      <c r="M107" s="60" t="n">
        <v>-21</v>
      </c>
      <c r="N107" s="60" t="n"/>
      <c r="O107" s="60" t="n"/>
      <c r="P107" s="60" t="n"/>
      <c r="Q107" s="60" t="n"/>
      <c r="R107" s="60" t="n"/>
    </row>
    <row r="108">
      <c r="A108" s="60" t="n">
        <v>835</v>
      </c>
      <c r="B108" s="60" t="inlineStr">
        <is>
          <t>830</t>
        </is>
      </c>
      <c r="C108" s="60" t="inlineStr">
        <is>
          <t>Acclaim-C1</t>
        </is>
      </c>
      <c r="D108" s="60" t="inlineStr">
        <is>
          <t>SconceE</t>
        </is>
      </c>
      <c r="E108" s="60" t="inlineStr">
        <is>
          <t>Sconce 11</t>
        </is>
      </c>
      <c r="F108" s="60" t="inlineStr">
        <is>
          <t>Main floor perimeter</t>
        </is>
      </c>
      <c r="G108" s="60" t="inlineStr">
        <is>
          <t>Planned</t>
        </is>
      </c>
      <c r="H108" s="60" t="n"/>
      <c r="I108" s="60" t="n">
        <v>1</v>
      </c>
      <c r="J108" s="60" t="n"/>
      <c r="K108" s="60" t="n">
        <v>13</v>
      </c>
      <c r="L108" s="60" t="n">
        <v>49</v>
      </c>
      <c r="M108" s="60" t="n">
        <v>-32</v>
      </c>
      <c r="N108" s="60" t="n"/>
      <c r="O108" s="60" t="n"/>
      <c r="P108" s="60" t="n"/>
      <c r="Q108" s="60" t="n"/>
      <c r="R108" s="60" t="n"/>
    </row>
    <row r="109">
      <c r="A109" s="60" t="n">
        <v>836</v>
      </c>
      <c r="B109" s="60" t="inlineStr">
        <is>
          <t>830</t>
        </is>
      </c>
      <c r="C109" s="60" t="inlineStr">
        <is>
          <t>Acclaim-C1</t>
        </is>
      </c>
      <c r="D109" s="60" t="inlineStr">
        <is>
          <t>SconceE</t>
        </is>
      </c>
      <c r="E109" s="60" t="inlineStr">
        <is>
          <t>Sconce 12</t>
        </is>
      </c>
      <c r="F109" s="60" t="inlineStr">
        <is>
          <t>Main floor perimeter</t>
        </is>
      </c>
      <c r="G109" s="60" t="inlineStr">
        <is>
          <t>Planned</t>
        </is>
      </c>
      <c r="H109" s="60" t="n"/>
      <c r="I109" s="60" t="n">
        <v>1</v>
      </c>
      <c r="J109" s="60" t="n"/>
      <c r="K109" s="60" t="n">
        <v>13</v>
      </c>
      <c r="L109" s="60" t="n">
        <v>40</v>
      </c>
      <c r="M109" s="60" t="n">
        <v>-41</v>
      </c>
      <c r="N109" s="60" t="n"/>
      <c r="O109" s="60" t="n"/>
      <c r="P109" s="60" t="n"/>
      <c r="Q109" s="60" t="n"/>
      <c r="R109" s="60" t="n"/>
    </row>
    <row r="110">
      <c r="A110" s="60" t="n">
        <v>811</v>
      </c>
      <c r="B110" s="60" t="inlineStr">
        <is>
          <t>810</t>
        </is>
      </c>
      <c r="C110" s="60" t="inlineStr">
        <is>
          <t>Navis</t>
        </is>
      </c>
      <c r="D110" s="60" t="inlineStr">
        <is>
          <t>UnderBal</t>
        </is>
      </c>
      <c r="E110" s="60" t="inlineStr">
        <is>
          <t>Navis u01 (patch)</t>
        </is>
      </c>
      <c r="F110" s="60" t="inlineStr">
        <is>
          <t>Under Balcony</t>
        </is>
      </c>
      <c r="G110" s="60" t="inlineStr">
        <is>
          <t>Planned</t>
        </is>
      </c>
      <c r="H110" s="60" t="n"/>
      <c r="I110" s="60" t="n">
        <v>1</v>
      </c>
      <c r="J110" s="60" t="n"/>
      <c r="K110" s="60" t="n">
        <v>5</v>
      </c>
      <c r="L110" s="60" t="n">
        <v>-30</v>
      </c>
      <c r="M110" s="60" t="n">
        <v>-33</v>
      </c>
      <c r="N110" s="60" t="n"/>
      <c r="O110" s="60" t="n"/>
      <c r="P110" s="60" t="n"/>
      <c r="Q110" s="60" t="n"/>
      <c r="R110" s="60" t="inlineStr">
        <is>
          <t>MA3 MultiPatch main fixture; the other 811 rows are MultiPatch instances on this DMX. Count TBD (~24). Replaces Ketra under-balcony zone (old ch 70)</t>
        </is>
      </c>
    </row>
    <row r="111">
      <c r="A111" s="60" t="n">
        <v>811</v>
      </c>
      <c r="B111" s="60" t="inlineStr">
        <is>
          <t>810</t>
        </is>
      </c>
      <c r="C111" s="60" t="inlineStr">
        <is>
          <t>Navis</t>
        </is>
      </c>
      <c r="D111" s="60" t="inlineStr">
        <is>
          <t>UnderBal</t>
        </is>
      </c>
      <c r="E111" s="60" t="inlineStr">
        <is>
          <t>Navis u02</t>
        </is>
      </c>
      <c r="F111" s="60" t="inlineStr">
        <is>
          <t>Under Balcony</t>
        </is>
      </c>
      <c r="G111" s="60" t="inlineStr">
        <is>
          <t>Planned</t>
        </is>
      </c>
      <c r="H111" s="60" t="n"/>
      <c r="I111" s="60" t="n"/>
      <c r="J111" s="60" t="n"/>
      <c r="K111" s="60" t="n"/>
      <c r="L111" s="60" t="n">
        <v>-25</v>
      </c>
      <c r="M111" s="60" t="n">
        <v>-37</v>
      </c>
      <c r="N111" s="60" t="n"/>
      <c r="O111" s="60" t="n"/>
      <c r="P111" s="60" t="n"/>
      <c r="Q111" s="60" t="n"/>
      <c r="R111" s="60" t="inlineStr">
        <is>
          <t>MultiPatch instance of 811 - shares its DMX</t>
        </is>
      </c>
    </row>
    <row r="112">
      <c r="A112" s="60" t="n">
        <v>811</v>
      </c>
      <c r="B112" s="60" t="inlineStr">
        <is>
          <t>810</t>
        </is>
      </c>
      <c r="C112" s="60" t="inlineStr">
        <is>
          <t>Navis</t>
        </is>
      </c>
      <c r="D112" s="60" t="inlineStr">
        <is>
          <t>UnderBal</t>
        </is>
      </c>
      <c r="E112" s="60" t="inlineStr">
        <is>
          <t>Navis u03</t>
        </is>
      </c>
      <c r="F112" s="60" t="inlineStr">
        <is>
          <t>Under Balcony</t>
        </is>
      </c>
      <c r="G112" s="60" t="inlineStr">
        <is>
          <t>Planned</t>
        </is>
      </c>
      <c r="H112" s="60" t="n"/>
      <c r="I112" s="60" t="n"/>
      <c r="J112" s="60" t="n"/>
      <c r="K112" s="60" t="n"/>
      <c r="L112" s="60" t="n">
        <v>-20</v>
      </c>
      <c r="M112" s="60" t="n">
        <v>-40</v>
      </c>
      <c r="N112" s="60" t="n"/>
      <c r="O112" s="60" t="n"/>
      <c r="P112" s="60" t="n"/>
      <c r="Q112" s="60" t="n"/>
      <c r="R112" s="60" t="inlineStr">
        <is>
          <t>MultiPatch instance of 811 - shares its DMX</t>
        </is>
      </c>
    </row>
    <row r="113">
      <c r="A113" s="60" t="n">
        <v>811</v>
      </c>
      <c r="B113" s="60" t="inlineStr">
        <is>
          <t>810</t>
        </is>
      </c>
      <c r="C113" s="60" t="inlineStr">
        <is>
          <t>Navis</t>
        </is>
      </c>
      <c r="D113" s="60" t="inlineStr">
        <is>
          <t>UnderBal</t>
        </is>
      </c>
      <c r="E113" s="60" t="inlineStr">
        <is>
          <t>Navis u04</t>
        </is>
      </c>
      <c r="F113" s="60" t="inlineStr">
        <is>
          <t>Under Balcony</t>
        </is>
      </c>
      <c r="G113" s="60" t="inlineStr">
        <is>
          <t>Planned</t>
        </is>
      </c>
      <c r="H113" s="60" t="n"/>
      <c r="I113" s="60" t="n"/>
      <c r="J113" s="60" t="n"/>
      <c r="K113" s="60" t="n"/>
      <c r="L113" s="60" t="n">
        <v>-14</v>
      </c>
      <c r="M113" s="60" t="n">
        <v>-40</v>
      </c>
      <c r="N113" s="60" t="n"/>
      <c r="O113" s="60" t="n"/>
      <c r="P113" s="60" t="n"/>
      <c r="Q113" s="60" t="n"/>
      <c r="R113" s="60" t="inlineStr">
        <is>
          <t>MultiPatch instance of 811 - shares its DMX</t>
        </is>
      </c>
    </row>
    <row r="114">
      <c r="A114" s="60" t="n">
        <v>811</v>
      </c>
      <c r="B114" s="60" t="inlineStr">
        <is>
          <t>810</t>
        </is>
      </c>
      <c r="C114" s="60" t="inlineStr">
        <is>
          <t>Navis</t>
        </is>
      </c>
      <c r="D114" s="60" t="inlineStr">
        <is>
          <t>UnderBal</t>
        </is>
      </c>
      <c r="E114" s="60" t="inlineStr">
        <is>
          <t>Navis u05</t>
        </is>
      </c>
      <c r="F114" s="60" t="inlineStr">
        <is>
          <t>Under Balcony</t>
        </is>
      </c>
      <c r="G114" s="60" t="inlineStr">
        <is>
          <t>Planned</t>
        </is>
      </c>
      <c r="H114" s="60" t="n"/>
      <c r="I114" s="60" t="n"/>
      <c r="J114" s="60" t="n"/>
      <c r="K114" s="60" t="n"/>
      <c r="L114" s="60" t="n">
        <v>-9</v>
      </c>
      <c r="M114" s="60" t="n">
        <v>-40</v>
      </c>
      <c r="N114" s="60" t="n"/>
      <c r="O114" s="60" t="n"/>
      <c r="P114" s="60" t="n"/>
      <c r="Q114" s="60" t="n"/>
      <c r="R114" s="60" t="inlineStr">
        <is>
          <t>MultiPatch instance of 811 - shares its DMX</t>
        </is>
      </c>
    </row>
    <row r="115">
      <c r="A115" s="60" t="n">
        <v>811</v>
      </c>
      <c r="B115" s="60" t="inlineStr">
        <is>
          <t>810</t>
        </is>
      </c>
      <c r="C115" s="60" t="inlineStr">
        <is>
          <t>Navis</t>
        </is>
      </c>
      <c r="D115" s="60" t="inlineStr">
        <is>
          <t>UnderBal</t>
        </is>
      </c>
      <c r="E115" s="60" t="inlineStr">
        <is>
          <t>Navis u06</t>
        </is>
      </c>
      <c r="F115" s="60" t="inlineStr">
        <is>
          <t>Under Balcony</t>
        </is>
      </c>
      <c r="G115" s="60" t="inlineStr">
        <is>
          <t>Planned</t>
        </is>
      </c>
      <c r="H115" s="60" t="n"/>
      <c r="I115" s="60" t="n"/>
      <c r="J115" s="60" t="n"/>
      <c r="K115" s="60" t="n"/>
      <c r="L115" s="60" t="n">
        <v>-3</v>
      </c>
      <c r="M115" s="60" t="n">
        <v>-37</v>
      </c>
      <c r="N115" s="60" t="n"/>
      <c r="O115" s="60" t="n"/>
      <c r="P115" s="60" t="n"/>
      <c r="Q115" s="60" t="n"/>
      <c r="R115" s="60" t="inlineStr">
        <is>
          <t>MultiPatch instance of 811 - shares its DMX</t>
        </is>
      </c>
    </row>
    <row r="116">
      <c r="A116" s="60" t="n">
        <v>811</v>
      </c>
      <c r="B116" s="60" t="inlineStr">
        <is>
          <t>810</t>
        </is>
      </c>
      <c r="C116" s="60" t="inlineStr">
        <is>
          <t>Navis</t>
        </is>
      </c>
      <c r="D116" s="60" t="inlineStr">
        <is>
          <t>UnderBal</t>
        </is>
      </c>
      <c r="E116" s="60" t="inlineStr">
        <is>
          <t>Navis u07</t>
        </is>
      </c>
      <c r="F116" s="60" t="inlineStr">
        <is>
          <t>Under Balcony</t>
        </is>
      </c>
      <c r="G116" s="60" t="inlineStr">
        <is>
          <t>Planned</t>
        </is>
      </c>
      <c r="H116" s="60" t="n"/>
      <c r="I116" s="60" t="n"/>
      <c r="J116" s="60" t="n"/>
      <c r="K116" s="60" t="n"/>
      <c r="L116" s="60" t="n">
        <v>3</v>
      </c>
      <c r="M116" s="60" t="n">
        <v>-37</v>
      </c>
      <c r="N116" s="60" t="n"/>
      <c r="O116" s="60" t="n"/>
      <c r="P116" s="60" t="n"/>
      <c r="Q116" s="60" t="n"/>
      <c r="R116" s="60" t="inlineStr">
        <is>
          <t>MultiPatch instance of 811 - shares its DMX</t>
        </is>
      </c>
    </row>
    <row r="117">
      <c r="A117" s="60" t="n">
        <v>811</v>
      </c>
      <c r="B117" s="60" t="inlineStr">
        <is>
          <t>810</t>
        </is>
      </c>
      <c r="C117" s="60" t="inlineStr">
        <is>
          <t>Navis</t>
        </is>
      </c>
      <c r="D117" s="60" t="inlineStr">
        <is>
          <t>UnderBal</t>
        </is>
      </c>
      <c r="E117" s="60" t="inlineStr">
        <is>
          <t>Navis u08</t>
        </is>
      </c>
      <c r="F117" s="60" t="inlineStr">
        <is>
          <t>Under Balcony</t>
        </is>
      </c>
      <c r="G117" s="60" t="inlineStr">
        <is>
          <t>Planned</t>
        </is>
      </c>
      <c r="H117" s="60" t="n"/>
      <c r="I117" s="60" t="n"/>
      <c r="J117" s="60" t="n"/>
      <c r="K117" s="60" t="n"/>
      <c r="L117" s="60" t="n">
        <v>9</v>
      </c>
      <c r="M117" s="60" t="n">
        <v>-40</v>
      </c>
      <c r="N117" s="60" t="n"/>
      <c r="O117" s="60" t="n"/>
      <c r="P117" s="60" t="n"/>
      <c r="Q117" s="60" t="n"/>
      <c r="R117" s="60" t="inlineStr">
        <is>
          <t>MultiPatch instance of 811 - shares its DMX</t>
        </is>
      </c>
    </row>
    <row r="118">
      <c r="A118" s="60" t="n">
        <v>811</v>
      </c>
      <c r="B118" s="60" t="inlineStr">
        <is>
          <t>810</t>
        </is>
      </c>
      <c r="C118" s="60" t="inlineStr">
        <is>
          <t>Navis</t>
        </is>
      </c>
      <c r="D118" s="60" t="inlineStr">
        <is>
          <t>UnderBal</t>
        </is>
      </c>
      <c r="E118" s="60" t="inlineStr">
        <is>
          <t>Navis u09</t>
        </is>
      </c>
      <c r="F118" s="60" t="inlineStr">
        <is>
          <t>Under Balcony</t>
        </is>
      </c>
      <c r="G118" s="60" t="inlineStr">
        <is>
          <t>Planned</t>
        </is>
      </c>
      <c r="H118" s="60" t="n"/>
      <c r="I118" s="60" t="n"/>
      <c r="J118" s="60" t="n"/>
      <c r="K118" s="60" t="n"/>
      <c r="L118" s="60" t="n">
        <v>14</v>
      </c>
      <c r="M118" s="60" t="n">
        <v>-40</v>
      </c>
      <c r="N118" s="60" t="n"/>
      <c r="O118" s="60" t="n"/>
      <c r="P118" s="60" t="n"/>
      <c r="Q118" s="60" t="n"/>
      <c r="R118" s="60" t="inlineStr">
        <is>
          <t>MultiPatch instance of 811 - shares its DMX</t>
        </is>
      </c>
    </row>
    <row r="119">
      <c r="A119" s="60" t="n">
        <v>811</v>
      </c>
      <c r="B119" s="60" t="inlineStr">
        <is>
          <t>810</t>
        </is>
      </c>
      <c r="C119" s="60" t="inlineStr">
        <is>
          <t>Navis</t>
        </is>
      </c>
      <c r="D119" s="60" t="inlineStr">
        <is>
          <t>UnderBal</t>
        </is>
      </c>
      <c r="E119" s="60" t="inlineStr">
        <is>
          <t>Navis u10</t>
        </is>
      </c>
      <c r="F119" s="60" t="inlineStr">
        <is>
          <t>Under Balcony</t>
        </is>
      </c>
      <c r="G119" s="60" t="inlineStr">
        <is>
          <t>Planned</t>
        </is>
      </c>
      <c r="H119" s="60" t="n"/>
      <c r="I119" s="60" t="n"/>
      <c r="J119" s="60" t="n"/>
      <c r="K119" s="60" t="n"/>
      <c r="L119" s="60" t="n">
        <v>20</v>
      </c>
      <c r="M119" s="60" t="n">
        <v>-40</v>
      </c>
      <c r="N119" s="60" t="n"/>
      <c r="O119" s="60" t="n"/>
      <c r="P119" s="60" t="n"/>
      <c r="Q119" s="60" t="n"/>
      <c r="R119" s="60" t="inlineStr">
        <is>
          <t>MultiPatch instance of 811 - shares its DMX</t>
        </is>
      </c>
    </row>
    <row r="120">
      <c r="A120" s="60" t="n">
        <v>811</v>
      </c>
      <c r="B120" s="60" t="inlineStr">
        <is>
          <t>810</t>
        </is>
      </c>
      <c r="C120" s="60" t="inlineStr">
        <is>
          <t>Navis</t>
        </is>
      </c>
      <c r="D120" s="60" t="inlineStr">
        <is>
          <t>UnderBal</t>
        </is>
      </c>
      <c r="E120" s="60" t="inlineStr">
        <is>
          <t>Navis u11</t>
        </is>
      </c>
      <c r="F120" s="60" t="inlineStr">
        <is>
          <t>Under Balcony</t>
        </is>
      </c>
      <c r="G120" s="60" t="inlineStr">
        <is>
          <t>Planned</t>
        </is>
      </c>
      <c r="H120" s="60" t="n"/>
      <c r="I120" s="60" t="n"/>
      <c r="J120" s="60" t="n"/>
      <c r="K120" s="60" t="n"/>
      <c r="L120" s="60" t="n">
        <v>25</v>
      </c>
      <c r="M120" s="60" t="n">
        <v>-37</v>
      </c>
      <c r="N120" s="60" t="n"/>
      <c r="O120" s="60" t="n"/>
      <c r="P120" s="60" t="n"/>
      <c r="Q120" s="60" t="n"/>
      <c r="R120" s="60" t="inlineStr">
        <is>
          <t>MultiPatch instance of 811 - shares its DMX</t>
        </is>
      </c>
    </row>
    <row r="121">
      <c r="A121" s="60" t="n">
        <v>811</v>
      </c>
      <c r="B121" s="60" t="inlineStr">
        <is>
          <t>810</t>
        </is>
      </c>
      <c r="C121" s="60" t="inlineStr">
        <is>
          <t>Navis</t>
        </is>
      </c>
      <c r="D121" s="60" t="inlineStr">
        <is>
          <t>UnderBal</t>
        </is>
      </c>
      <c r="E121" s="60" t="inlineStr">
        <is>
          <t>Navis u12</t>
        </is>
      </c>
      <c r="F121" s="60" t="inlineStr">
        <is>
          <t>Under Balcony</t>
        </is>
      </c>
      <c r="G121" s="60" t="inlineStr">
        <is>
          <t>Planned</t>
        </is>
      </c>
      <c r="H121" s="60" t="n"/>
      <c r="I121" s="60" t="n"/>
      <c r="J121" s="60" t="n"/>
      <c r="K121" s="60" t="n"/>
      <c r="L121" s="60" t="n">
        <v>30</v>
      </c>
      <c r="M121" s="60" t="n">
        <v>-33</v>
      </c>
      <c r="N121" s="60" t="n"/>
      <c r="O121" s="60" t="n"/>
      <c r="P121" s="60" t="n"/>
      <c r="Q121" s="60" t="n"/>
      <c r="R121" s="60" t="inlineStr">
        <is>
          <t>MultiPatch instance of 811 - shares its DMX</t>
        </is>
      </c>
    </row>
    <row r="122">
      <c r="A122" s="60" t="n">
        <v>811</v>
      </c>
      <c r="B122" s="60" t="inlineStr">
        <is>
          <t>810</t>
        </is>
      </c>
      <c r="C122" s="60" t="inlineStr">
        <is>
          <t>Navis</t>
        </is>
      </c>
      <c r="D122" s="60" t="inlineStr">
        <is>
          <t>UnderBal</t>
        </is>
      </c>
      <c r="E122" s="60" t="inlineStr">
        <is>
          <t>Navis u13</t>
        </is>
      </c>
      <c r="F122" s="60" t="inlineStr">
        <is>
          <t>Under Balcony</t>
        </is>
      </c>
      <c r="G122" s="60" t="inlineStr">
        <is>
          <t>Planned</t>
        </is>
      </c>
      <c r="H122" s="60" t="n"/>
      <c r="I122" s="60" t="n"/>
      <c r="J122" s="60" t="n"/>
      <c r="K122" s="60" t="n"/>
      <c r="L122" s="60" t="n">
        <v>-30</v>
      </c>
      <c r="M122" s="60" t="n">
        <v>-43</v>
      </c>
      <c r="N122" s="60" t="n"/>
      <c r="O122" s="60" t="n"/>
      <c r="P122" s="60" t="n"/>
      <c r="Q122" s="60" t="n"/>
      <c r="R122" s="60" t="inlineStr">
        <is>
          <t>MultiPatch instance of 811 - shares its DMX</t>
        </is>
      </c>
    </row>
    <row r="123">
      <c r="A123" s="60" t="n">
        <v>811</v>
      </c>
      <c r="B123" s="60" t="inlineStr">
        <is>
          <t>810</t>
        </is>
      </c>
      <c r="C123" s="60" t="inlineStr">
        <is>
          <t>Navis</t>
        </is>
      </c>
      <c r="D123" s="60" t="inlineStr">
        <is>
          <t>UnderBal</t>
        </is>
      </c>
      <c r="E123" s="60" t="inlineStr">
        <is>
          <t>Navis u14</t>
        </is>
      </c>
      <c r="F123" s="60" t="inlineStr">
        <is>
          <t>Under Balcony</t>
        </is>
      </c>
      <c r="G123" s="60" t="inlineStr">
        <is>
          <t>Planned</t>
        </is>
      </c>
      <c r="H123" s="60" t="n"/>
      <c r="I123" s="60" t="n"/>
      <c r="J123" s="60" t="n"/>
      <c r="K123" s="60" t="n"/>
      <c r="L123" s="60" t="n">
        <v>-25</v>
      </c>
      <c r="M123" s="60" t="n">
        <v>-45</v>
      </c>
      <c r="N123" s="60" t="n"/>
      <c r="O123" s="60" t="n"/>
      <c r="P123" s="60" t="n"/>
      <c r="Q123" s="60" t="n"/>
      <c r="R123" s="60" t="inlineStr">
        <is>
          <t>MultiPatch instance of 811 - shares its DMX</t>
        </is>
      </c>
    </row>
    <row r="124">
      <c r="A124" s="60" t="n">
        <v>811</v>
      </c>
      <c r="B124" s="60" t="inlineStr">
        <is>
          <t>810</t>
        </is>
      </c>
      <c r="C124" s="60" t="inlineStr">
        <is>
          <t>Navis</t>
        </is>
      </c>
      <c r="D124" s="60" t="inlineStr">
        <is>
          <t>UnderBal</t>
        </is>
      </c>
      <c r="E124" s="60" t="inlineStr">
        <is>
          <t>Navis u15</t>
        </is>
      </c>
      <c r="F124" s="60" t="inlineStr">
        <is>
          <t>Under Balcony</t>
        </is>
      </c>
      <c r="G124" s="60" t="inlineStr">
        <is>
          <t>Planned</t>
        </is>
      </c>
      <c r="H124" s="60" t="n"/>
      <c r="I124" s="60" t="n"/>
      <c r="J124" s="60" t="n"/>
      <c r="K124" s="60" t="n"/>
      <c r="L124" s="60" t="n">
        <v>-20</v>
      </c>
      <c r="M124" s="60" t="n">
        <v>-46</v>
      </c>
      <c r="N124" s="60" t="n"/>
      <c r="O124" s="60" t="n"/>
      <c r="P124" s="60" t="n"/>
      <c r="Q124" s="60" t="n"/>
      <c r="R124" s="60" t="inlineStr">
        <is>
          <t>MultiPatch instance of 811 - shares its DMX</t>
        </is>
      </c>
    </row>
    <row r="125">
      <c r="A125" s="60" t="n">
        <v>811</v>
      </c>
      <c r="B125" s="60" t="inlineStr">
        <is>
          <t>810</t>
        </is>
      </c>
      <c r="C125" s="60" t="inlineStr">
        <is>
          <t>Navis</t>
        </is>
      </c>
      <c r="D125" s="60" t="inlineStr">
        <is>
          <t>UnderBal</t>
        </is>
      </c>
      <c r="E125" s="60" t="inlineStr">
        <is>
          <t>Navis u16</t>
        </is>
      </c>
      <c r="F125" s="60" t="inlineStr">
        <is>
          <t>Under Balcony</t>
        </is>
      </c>
      <c r="G125" s="60" t="inlineStr">
        <is>
          <t>Planned</t>
        </is>
      </c>
      <c r="H125" s="60" t="n"/>
      <c r="I125" s="60" t="n"/>
      <c r="J125" s="60" t="n"/>
      <c r="K125" s="60" t="n"/>
      <c r="L125" s="60" t="n">
        <v>20</v>
      </c>
      <c r="M125" s="60" t="n">
        <v>-46</v>
      </c>
      <c r="N125" s="60" t="n"/>
      <c r="O125" s="60" t="n"/>
      <c r="P125" s="60" t="n"/>
      <c r="Q125" s="60" t="n"/>
      <c r="R125" s="60" t="inlineStr">
        <is>
          <t>MultiPatch instance of 811 - shares its DMX</t>
        </is>
      </c>
    </row>
    <row r="126">
      <c r="A126" s="60" t="n">
        <v>811</v>
      </c>
      <c r="B126" s="60" t="inlineStr">
        <is>
          <t>810</t>
        </is>
      </c>
      <c r="C126" s="60" t="inlineStr">
        <is>
          <t>Navis</t>
        </is>
      </c>
      <c r="D126" s="60" t="inlineStr">
        <is>
          <t>UnderBal</t>
        </is>
      </c>
      <c r="E126" s="60" t="inlineStr">
        <is>
          <t>Navis u17</t>
        </is>
      </c>
      <c r="F126" s="60" t="inlineStr">
        <is>
          <t>Under Balcony</t>
        </is>
      </c>
      <c r="G126" s="60" t="inlineStr">
        <is>
          <t>Planned</t>
        </is>
      </c>
      <c r="H126" s="60" t="n"/>
      <c r="I126" s="60" t="n"/>
      <c r="J126" s="60" t="n"/>
      <c r="K126" s="60" t="n"/>
      <c r="L126" s="60" t="n">
        <v>25</v>
      </c>
      <c r="M126" s="60" t="n">
        <v>-45</v>
      </c>
      <c r="N126" s="60" t="n"/>
      <c r="O126" s="60" t="n"/>
      <c r="P126" s="60" t="n"/>
      <c r="Q126" s="60" t="n"/>
      <c r="R126" s="60" t="inlineStr">
        <is>
          <t>MultiPatch instance of 811 - shares its DMX</t>
        </is>
      </c>
    </row>
    <row r="127">
      <c r="A127" s="60" t="n">
        <v>811</v>
      </c>
      <c r="B127" s="60" t="inlineStr">
        <is>
          <t>810</t>
        </is>
      </c>
      <c r="C127" s="60" t="inlineStr">
        <is>
          <t>Navis</t>
        </is>
      </c>
      <c r="D127" s="60" t="inlineStr">
        <is>
          <t>UnderBal</t>
        </is>
      </c>
      <c r="E127" s="60" t="inlineStr">
        <is>
          <t>Navis u18</t>
        </is>
      </c>
      <c r="F127" s="60" t="inlineStr">
        <is>
          <t>Under Balcony</t>
        </is>
      </c>
      <c r="G127" s="60" t="inlineStr">
        <is>
          <t>Planned</t>
        </is>
      </c>
      <c r="H127" s="60" t="n"/>
      <c r="I127" s="60" t="n"/>
      <c r="J127" s="60" t="n"/>
      <c r="K127" s="60" t="n"/>
      <c r="L127" s="60" t="n">
        <v>30</v>
      </c>
      <c r="M127" s="60" t="n">
        <v>-43</v>
      </c>
      <c r="N127" s="60" t="n"/>
      <c r="O127" s="60" t="n"/>
      <c r="P127" s="60" t="n"/>
      <c r="Q127" s="60" t="n"/>
      <c r="R127" s="60" t="inlineStr">
        <is>
          <t>MultiPatch instance of 811 - shares its DMX</t>
        </is>
      </c>
    </row>
    <row r="128">
      <c r="A128" s="60" t="n">
        <v>811</v>
      </c>
      <c r="B128" s="60" t="inlineStr">
        <is>
          <t>810</t>
        </is>
      </c>
      <c r="C128" s="60" t="inlineStr">
        <is>
          <t>Navis</t>
        </is>
      </c>
      <c r="D128" s="60" t="inlineStr">
        <is>
          <t>UnderBal</t>
        </is>
      </c>
      <c r="E128" s="60" t="inlineStr">
        <is>
          <t>Navis u19</t>
        </is>
      </c>
      <c r="F128" s="60" t="inlineStr">
        <is>
          <t>Under Balcony</t>
        </is>
      </c>
      <c r="G128" s="60" t="inlineStr">
        <is>
          <t>Planned</t>
        </is>
      </c>
      <c r="H128" s="60" t="n"/>
      <c r="I128" s="60" t="n"/>
      <c r="J128" s="60" t="n"/>
      <c r="K128" s="60" t="n"/>
      <c r="L128" s="60" t="n">
        <v>-32</v>
      </c>
      <c r="M128" s="60" t="n">
        <v>-49</v>
      </c>
      <c r="N128" s="60" t="n"/>
      <c r="O128" s="60" t="n"/>
      <c r="P128" s="60" t="n"/>
      <c r="Q128" s="60" t="n"/>
      <c r="R128" s="60" t="inlineStr">
        <is>
          <t>MultiPatch instance of 811 - shares its DMX; was the duplicate 'u25' in commonLightingPlots.qmd</t>
        </is>
      </c>
    </row>
    <row r="129">
      <c r="A129" s="60" t="n">
        <v>811</v>
      </c>
      <c r="B129" s="60" t="inlineStr">
        <is>
          <t>810</t>
        </is>
      </c>
      <c r="C129" s="60" t="inlineStr">
        <is>
          <t>Navis</t>
        </is>
      </c>
      <c r="D129" s="60" t="inlineStr">
        <is>
          <t>UnderBal</t>
        </is>
      </c>
      <c r="E129" s="60" t="inlineStr">
        <is>
          <t>Navis u20</t>
        </is>
      </c>
      <c r="F129" s="60" t="inlineStr">
        <is>
          <t>Under Balcony</t>
        </is>
      </c>
      <c r="G129" s="60" t="inlineStr">
        <is>
          <t>Planned</t>
        </is>
      </c>
      <c r="H129" s="60" t="n"/>
      <c r="I129" s="60" t="n"/>
      <c r="J129" s="60" t="n"/>
      <c r="K129" s="60" t="n"/>
      <c r="L129" s="60" t="n">
        <v>-22</v>
      </c>
      <c r="M129" s="60" t="n">
        <v>-52</v>
      </c>
      <c r="N129" s="60" t="n"/>
      <c r="O129" s="60" t="n"/>
      <c r="P129" s="60" t="n"/>
      <c r="Q129" s="60" t="n"/>
      <c r="R129" s="60" t="inlineStr">
        <is>
          <t>MultiPatch instance of 811 - shares its DMX</t>
        </is>
      </c>
    </row>
    <row r="130">
      <c r="A130" s="60" t="n">
        <v>811</v>
      </c>
      <c r="B130" s="60" t="inlineStr">
        <is>
          <t>810</t>
        </is>
      </c>
      <c r="C130" s="60" t="inlineStr">
        <is>
          <t>Navis</t>
        </is>
      </c>
      <c r="D130" s="60" t="inlineStr">
        <is>
          <t>UnderBal</t>
        </is>
      </c>
      <c r="E130" s="60" t="inlineStr">
        <is>
          <t>Navis u21</t>
        </is>
      </c>
      <c r="F130" s="60" t="inlineStr">
        <is>
          <t>Under Balcony</t>
        </is>
      </c>
      <c r="G130" s="60" t="inlineStr">
        <is>
          <t>Planned</t>
        </is>
      </c>
      <c r="H130" s="60" t="n"/>
      <c r="I130" s="60" t="n"/>
      <c r="J130" s="60" t="n"/>
      <c r="K130" s="60" t="n"/>
      <c r="L130" s="60" t="n">
        <v>-11</v>
      </c>
      <c r="M130" s="60" t="n">
        <v>-52</v>
      </c>
      <c r="N130" s="60" t="n"/>
      <c r="O130" s="60" t="n"/>
      <c r="P130" s="60" t="n"/>
      <c r="Q130" s="60" t="n"/>
      <c r="R130" s="60" t="inlineStr">
        <is>
          <t>MultiPatch instance of 811 - shares its DMX</t>
        </is>
      </c>
    </row>
    <row r="131">
      <c r="A131" s="60" t="n">
        <v>811</v>
      </c>
      <c r="B131" s="60" t="inlineStr">
        <is>
          <t>810</t>
        </is>
      </c>
      <c r="C131" s="60" t="inlineStr">
        <is>
          <t>Navis</t>
        </is>
      </c>
      <c r="D131" s="60" t="inlineStr">
        <is>
          <t>UnderBal</t>
        </is>
      </c>
      <c r="E131" s="60" t="inlineStr">
        <is>
          <t>Navis u22</t>
        </is>
      </c>
      <c r="F131" s="60" t="inlineStr">
        <is>
          <t>Under Balcony</t>
        </is>
      </c>
      <c r="G131" s="60" t="inlineStr">
        <is>
          <t>Planned</t>
        </is>
      </c>
      <c r="H131" s="60" t="n"/>
      <c r="I131" s="60" t="n"/>
      <c r="J131" s="60" t="n"/>
      <c r="K131" s="60" t="n"/>
      <c r="L131" s="60" t="n">
        <v>-3</v>
      </c>
      <c r="M131" s="60" t="n">
        <v>-52</v>
      </c>
      <c r="N131" s="60" t="n"/>
      <c r="O131" s="60" t="n"/>
      <c r="P131" s="60" t="n"/>
      <c r="Q131" s="60" t="n"/>
      <c r="R131" s="60" t="inlineStr">
        <is>
          <t>MultiPatch instance of 811 - shares its DMX</t>
        </is>
      </c>
    </row>
    <row r="132">
      <c r="A132" s="60" t="n">
        <v>811</v>
      </c>
      <c r="B132" s="60" t="inlineStr">
        <is>
          <t>810</t>
        </is>
      </c>
      <c r="C132" s="60" t="inlineStr">
        <is>
          <t>Navis</t>
        </is>
      </c>
      <c r="D132" s="60" t="inlineStr">
        <is>
          <t>UnderBal</t>
        </is>
      </c>
      <c r="E132" s="60" t="inlineStr">
        <is>
          <t>Navis u23</t>
        </is>
      </c>
      <c r="F132" s="60" t="inlineStr">
        <is>
          <t>Under Balcony</t>
        </is>
      </c>
      <c r="G132" s="60" t="inlineStr">
        <is>
          <t>Planned</t>
        </is>
      </c>
      <c r="H132" s="60" t="n"/>
      <c r="I132" s="60" t="n"/>
      <c r="J132" s="60" t="n"/>
      <c r="K132" s="60" t="n"/>
      <c r="L132" s="60" t="n">
        <v>3</v>
      </c>
      <c r="M132" s="60" t="n">
        <v>-52</v>
      </c>
      <c r="N132" s="60" t="n"/>
      <c r="O132" s="60" t="n"/>
      <c r="P132" s="60" t="n"/>
      <c r="Q132" s="60" t="n"/>
      <c r="R132" s="60" t="inlineStr">
        <is>
          <t>MultiPatch instance of 811 - shares its DMX</t>
        </is>
      </c>
    </row>
    <row r="133">
      <c r="A133" s="60" t="n">
        <v>811</v>
      </c>
      <c r="B133" s="60" t="inlineStr">
        <is>
          <t>810</t>
        </is>
      </c>
      <c r="C133" s="60" t="inlineStr">
        <is>
          <t>Navis</t>
        </is>
      </c>
      <c r="D133" s="60" t="inlineStr">
        <is>
          <t>UnderBal</t>
        </is>
      </c>
      <c r="E133" s="60" t="inlineStr">
        <is>
          <t>Navis u24</t>
        </is>
      </c>
      <c r="F133" s="60" t="inlineStr">
        <is>
          <t>Under Balcony</t>
        </is>
      </c>
      <c r="G133" s="60" t="inlineStr">
        <is>
          <t>Planned</t>
        </is>
      </c>
      <c r="H133" s="60" t="n"/>
      <c r="I133" s="60" t="n"/>
      <c r="J133" s="60" t="n"/>
      <c r="K133" s="60" t="n"/>
      <c r="L133" s="60" t="n">
        <v>11</v>
      </c>
      <c r="M133" s="60" t="n">
        <v>-52</v>
      </c>
      <c r="N133" s="60" t="n"/>
      <c r="O133" s="60" t="n"/>
      <c r="P133" s="60" t="n"/>
      <c r="Q133" s="60" t="n"/>
      <c r="R133" s="60" t="inlineStr">
        <is>
          <t>MultiPatch instance of 811 - shares its DMX</t>
        </is>
      </c>
    </row>
    <row r="134">
      <c r="A134" s="60" t="n">
        <v>811</v>
      </c>
      <c r="B134" s="60" t="inlineStr">
        <is>
          <t>810</t>
        </is>
      </c>
      <c r="C134" s="60" t="inlineStr">
        <is>
          <t>Navis</t>
        </is>
      </c>
      <c r="D134" s="60" t="inlineStr">
        <is>
          <t>UnderBal</t>
        </is>
      </c>
      <c r="E134" s="60" t="inlineStr">
        <is>
          <t>Navis u25</t>
        </is>
      </c>
      <c r="F134" s="60" t="inlineStr">
        <is>
          <t>Under Balcony</t>
        </is>
      </c>
      <c r="G134" s="60" t="inlineStr">
        <is>
          <t>Planned</t>
        </is>
      </c>
      <c r="H134" s="60" t="n"/>
      <c r="I134" s="60" t="n"/>
      <c r="J134" s="60" t="n"/>
      <c r="K134" s="60" t="n"/>
      <c r="L134" s="60" t="n">
        <v>22</v>
      </c>
      <c r="M134" s="60" t="n">
        <v>-52</v>
      </c>
      <c r="N134" s="60" t="n"/>
      <c r="O134" s="60" t="n"/>
      <c r="P134" s="60" t="n"/>
      <c r="Q134" s="60" t="n"/>
      <c r="R134" s="60" t="inlineStr">
        <is>
          <t>MultiPatch instance of 811 - shares its DMX</t>
        </is>
      </c>
    </row>
    <row r="135">
      <c r="A135" s="60" t="n">
        <v>811</v>
      </c>
      <c r="B135" s="60" t="inlineStr">
        <is>
          <t>810</t>
        </is>
      </c>
      <c r="C135" s="60" t="inlineStr">
        <is>
          <t>Navis</t>
        </is>
      </c>
      <c r="D135" s="60" t="inlineStr">
        <is>
          <t>UnderBal</t>
        </is>
      </c>
      <c r="E135" s="60" t="inlineStr">
        <is>
          <t>Navis u26</t>
        </is>
      </c>
      <c r="F135" s="60" t="inlineStr">
        <is>
          <t>Under Balcony</t>
        </is>
      </c>
      <c r="G135" s="60" t="inlineStr">
        <is>
          <t>Planned</t>
        </is>
      </c>
      <c r="H135" s="60" t="n"/>
      <c r="I135" s="60" t="n"/>
      <c r="J135" s="60" t="n"/>
      <c r="K135" s="60" t="n"/>
      <c r="L135" s="60" t="n">
        <v>30</v>
      </c>
      <c r="M135" s="60" t="n">
        <v>-49</v>
      </c>
      <c r="N135" s="60" t="n"/>
      <c r="O135" s="60" t="n"/>
      <c r="P135" s="60" t="n"/>
      <c r="Q135" s="60" t="n"/>
      <c r="R135" s="60" t="inlineStr">
        <is>
          <t>MultiPatch instance of 811 - shares its DMX</t>
        </is>
      </c>
    </row>
    <row r="136">
      <c r="A136" s="60" t="inlineStr">
        <is>
          <t>901-904</t>
        </is>
      </c>
      <c r="B136" s="60" t="inlineStr">
        <is>
          <t>900</t>
        </is>
      </c>
      <c r="C136" s="60" t="inlineStr">
        <is>
          <t>ADJQuadDim</t>
        </is>
      </c>
      <c r="D136" s="60" t="inlineStr">
        <is>
          <t>adHoc</t>
        </is>
      </c>
      <c r="E136" s="60" t="inlineStr">
        <is>
          <t>DP-415R pack 1</t>
        </is>
      </c>
      <c r="F136" s="60" t="n"/>
      <c r="G136" s="60" t="inlineStr">
        <is>
          <t>Active</t>
        </is>
      </c>
      <c r="H136" s="60" t="inlineStr">
        <is>
          <t>2310-0211</t>
        </is>
      </c>
      <c r="I136" s="60" t="n">
        <v>3</v>
      </c>
      <c r="J136" s="60" t="n"/>
      <c r="K136" s="60" t="n">
        <v>1</v>
      </c>
      <c r="L136" s="60" t="n"/>
      <c r="M136" s="60" t="n"/>
      <c r="N136" s="60" t="n"/>
      <c r="O136" s="60" t="n"/>
      <c r="P136" s="60" t="n"/>
      <c r="Q136" s="60" t="n"/>
      <c r="R136" s="60" t="inlineStr">
        <is>
          <t>One physical pack; patched in MA3 as 4 unrelated 1-ch dimmers. Pack/tag pairing unconfirmed</t>
        </is>
      </c>
    </row>
    <row r="137">
      <c r="A137" s="60" t="inlineStr">
        <is>
          <t>905-908</t>
        </is>
      </c>
      <c r="B137" s="60" t="inlineStr">
        <is>
          <t>900</t>
        </is>
      </c>
      <c r="C137" s="60" t="inlineStr">
        <is>
          <t>ADJQuadDim</t>
        </is>
      </c>
      <c r="D137" s="60" t="inlineStr">
        <is>
          <t>adHoc</t>
        </is>
      </c>
      <c r="E137" s="60" t="inlineStr">
        <is>
          <t>DP-415R pack 2</t>
        </is>
      </c>
      <c r="F137" s="60" t="n"/>
      <c r="G137" s="60" t="inlineStr">
        <is>
          <t>Active</t>
        </is>
      </c>
      <c r="H137" s="60" t="inlineStr">
        <is>
          <t>2310-0213</t>
        </is>
      </c>
      <c r="I137" s="60" t="n">
        <v>3</v>
      </c>
      <c r="J137" s="60" t="n"/>
      <c r="K137" s="60" t="n">
        <v>1</v>
      </c>
      <c r="L137" s="60" t="n"/>
      <c r="M137" s="60" t="n"/>
      <c r="N137" s="60" t="n"/>
      <c r="O137" s="60" t="n"/>
      <c r="P137" s="60" t="n"/>
      <c r="Q137" s="60" t="n"/>
      <c r="R137" s="60" t="inlineStr">
        <is>
          <t>One physical pack; patched in MA3 as 4 unrelated 1-ch dimmers. Pack/tag pairing unconfirmed</t>
        </is>
      </c>
    </row>
    <row r="138">
      <c r="A138" s="60" t="n">
        <v>911</v>
      </c>
      <c r="B138" s="60" t="inlineStr">
        <is>
          <t>910</t>
        </is>
      </c>
      <c r="C138" s="60" t="inlineStr">
        <is>
          <t>Rotator</t>
        </is>
      </c>
      <c r="D138" s="60" t="inlineStr">
        <is>
          <t>adhoc</t>
        </is>
      </c>
      <c r="E138" s="60" t="n"/>
      <c r="F138" s="60" t="n"/>
      <c r="G138" s="60" t="inlineStr">
        <is>
          <t>Active</t>
        </is>
      </c>
      <c r="H138" s="60" t="n"/>
      <c r="I138" s="60" t="n">
        <v>8</v>
      </c>
      <c r="J138" s="60" t="n"/>
      <c r="K138" s="60" t="n">
        <v>2</v>
      </c>
      <c r="L138" s="60" t="n"/>
      <c r="M138" s="60" t="n"/>
      <c r="N138" s="60" t="n"/>
      <c r="O138" s="60" t="n"/>
      <c r="P138" s="60" t="n"/>
      <c r="Q138" s="60" t="n"/>
      <c r="R138" s="60" t="n"/>
    </row>
    <row r="139">
      <c r="A139" s="60" t="n">
        <v>912</v>
      </c>
      <c r="B139" s="60" t="inlineStr">
        <is>
          <t>910</t>
        </is>
      </c>
      <c r="C139" s="60" t="inlineStr">
        <is>
          <t>Rotator</t>
        </is>
      </c>
      <c r="D139" s="60" t="inlineStr">
        <is>
          <t>adhoc</t>
        </is>
      </c>
      <c r="E139" s="60" t="n"/>
      <c r="F139" s="60" t="n"/>
      <c r="G139" s="60" t="inlineStr">
        <is>
          <t>Active</t>
        </is>
      </c>
      <c r="H139" s="60" t="n"/>
      <c r="I139" s="60" t="n">
        <v>8</v>
      </c>
      <c r="J139" s="60" t="n"/>
      <c r="K139" s="60" t="n">
        <v>2</v>
      </c>
      <c r="L139" s="60" t="n"/>
      <c r="M139" s="60" t="n"/>
      <c r="N139" s="60" t="n"/>
      <c r="O139" s="60" t="n"/>
      <c r="P139" s="60" t="n"/>
      <c r="Q139" s="60" t="n"/>
      <c r="R139" s="60" t="n"/>
    </row>
    <row r="140">
      <c r="A140" s="60" t="n">
        <v>921</v>
      </c>
      <c r="B140" s="60" t="inlineStr">
        <is>
          <t>920</t>
        </is>
      </c>
      <c r="C140" s="60" t="inlineStr">
        <is>
          <t>Haze</t>
        </is>
      </c>
      <c r="D140" s="60" t="inlineStr">
        <is>
          <t>adhoc</t>
        </is>
      </c>
      <c r="E140" s="60" t="n"/>
      <c r="F140" s="60" t="n"/>
      <c r="G140" s="60" t="inlineStr">
        <is>
          <t>Active</t>
        </is>
      </c>
      <c r="H140" s="60" t="n"/>
      <c r="I140" s="60" t="n">
        <v>3</v>
      </c>
      <c r="J140" s="60" t="n"/>
      <c r="K140" s="60" t="n">
        <v>2</v>
      </c>
      <c r="L140" s="60" t="n"/>
      <c r="M140" s="60" t="n"/>
      <c r="N140" s="60" t="n"/>
      <c r="O140" s="60" t="n"/>
      <c r="P140" s="60" t="n"/>
      <c r="Q140" s="60" t="n"/>
      <c r="R140" s="60" t="n"/>
    </row>
    <row r="141">
      <c r="A141" s="60" t="n">
        <v>931</v>
      </c>
      <c r="B141" s="60" t="inlineStr">
        <is>
          <t>930</t>
        </is>
      </c>
      <c r="C141" s="60" t="inlineStr">
        <is>
          <t>4WRD</t>
        </is>
      </c>
      <c r="D141" s="60" t="inlineStr">
        <is>
          <t>Rear Bar</t>
        </is>
      </c>
      <c r="E141" s="60" t="inlineStr">
        <is>
          <t>Cross</t>
        </is>
      </c>
      <c r="F141" s="60" t="inlineStr">
        <is>
          <t>Balcony East Bar</t>
        </is>
      </c>
      <c r="G141" s="60" t="inlineStr">
        <is>
          <t>Active</t>
        </is>
      </c>
      <c r="H141" s="60" t="inlineStr">
        <is>
          <t>ZLLU-B051</t>
        </is>
      </c>
      <c r="I141" s="60" t="n">
        <v>9</v>
      </c>
      <c r="J141" s="60" t="n"/>
      <c r="K141" s="60" t="n">
        <v>1</v>
      </c>
      <c r="L141" s="60" t="n">
        <v>-26</v>
      </c>
      <c r="M141" s="60" t="n">
        <v>-37</v>
      </c>
      <c r="N141" s="60" t="n">
        <v>20</v>
      </c>
      <c r="O141" s="60" t="n">
        <v>0</v>
      </c>
      <c r="P141" s="60" t="n">
        <v>-2</v>
      </c>
      <c r="Q141" s="60" t="n">
        <v>65</v>
      </c>
      <c r="R141" s="60" t="n"/>
    </row>
    <row r="142">
      <c r="A142" s="60" t="n">
        <v>932</v>
      </c>
      <c r="B142" s="60" t="inlineStr">
        <is>
          <t>930</t>
        </is>
      </c>
      <c r="C142" s="60" t="inlineStr">
        <is>
          <t>4WRD</t>
        </is>
      </c>
      <c r="D142" s="60" t="inlineStr">
        <is>
          <t>Rear Bar</t>
        </is>
      </c>
      <c r="E142" s="60" t="inlineStr">
        <is>
          <t>Special</t>
        </is>
      </c>
      <c r="F142" s="60" t="inlineStr">
        <is>
          <t>Balcony West Bar</t>
        </is>
      </c>
      <c r="G142" s="60" t="inlineStr">
        <is>
          <t>Active</t>
        </is>
      </c>
      <c r="H142" s="60" t="inlineStr">
        <is>
          <t>ZLLU-B052</t>
        </is>
      </c>
      <c r="I142" s="60" t="n">
        <v>9</v>
      </c>
      <c r="J142" s="60" t="n"/>
      <c r="K142" s="60" t="n">
        <v>1</v>
      </c>
      <c r="L142" s="60" t="n">
        <v>26</v>
      </c>
      <c r="M142" s="60" t="n">
        <v>-37</v>
      </c>
      <c r="N142" s="60" t="n">
        <v>20</v>
      </c>
      <c r="O142" s="60" t="n">
        <v>0</v>
      </c>
      <c r="P142" s="60" t="n">
        <v>-2</v>
      </c>
      <c r="Q142" s="60" t="n">
        <v>66</v>
      </c>
      <c r="R142" s="60" t="n"/>
    </row>
    <row r="143">
      <c r="A143" s="60" t="n">
        <v>941</v>
      </c>
      <c r="B143" s="60" t="inlineStr">
        <is>
          <t>940</t>
        </is>
      </c>
      <c r="C143" s="60" t="inlineStr">
        <is>
          <t>CSSpot</t>
        </is>
      </c>
      <c r="D143" s="60" t="inlineStr">
        <is>
          <t>Rear Bar</t>
        </is>
      </c>
      <c r="E143" s="60" t="inlineStr">
        <is>
          <t>Special</t>
        </is>
      </c>
      <c r="F143" s="60" t="inlineStr">
        <is>
          <t>Balcony East Bar</t>
        </is>
      </c>
      <c r="G143" s="60" t="inlineStr">
        <is>
          <t>Active</t>
        </is>
      </c>
      <c r="H143" s="60" t="inlineStr">
        <is>
          <t>ZLLU-B053</t>
        </is>
      </c>
      <c r="I143" s="60" t="n">
        <v>8</v>
      </c>
      <c r="J143" s="60" t="n"/>
      <c r="K143" s="60" t="n">
        <v>5</v>
      </c>
      <c r="L143" s="60" t="n">
        <v>-30</v>
      </c>
      <c r="M143" s="60" t="n">
        <v>-33</v>
      </c>
      <c r="N143" s="60" t="n">
        <v>20</v>
      </c>
      <c r="O143" s="60" t="n">
        <v>0</v>
      </c>
      <c r="P143" s="60" t="n">
        <v>-2</v>
      </c>
      <c r="Q143" s="60" t="n">
        <v>63</v>
      </c>
      <c r="R143" s="60" t="n"/>
    </row>
    <row r="144">
      <c r="A144" s="60" t="n">
        <v>942</v>
      </c>
      <c r="B144" s="60" t="inlineStr">
        <is>
          <t>940</t>
        </is>
      </c>
      <c r="C144" s="60" t="inlineStr">
        <is>
          <t>CSSpot</t>
        </is>
      </c>
      <c r="D144" s="60" t="inlineStr">
        <is>
          <t>Rear Bar</t>
        </is>
      </c>
      <c r="E144" s="60" t="inlineStr">
        <is>
          <t>Special</t>
        </is>
      </c>
      <c r="F144" s="60" t="inlineStr">
        <is>
          <t>Balcony West Bar</t>
        </is>
      </c>
      <c r="G144" s="60" t="inlineStr">
        <is>
          <t>Active</t>
        </is>
      </c>
      <c r="H144" s="60" t="inlineStr">
        <is>
          <t>ZLLU-B054</t>
        </is>
      </c>
      <c r="I144" s="60" t="n">
        <v>8</v>
      </c>
      <c r="J144" s="60" t="n"/>
      <c r="K144" s="60" t="n">
        <v>5</v>
      </c>
      <c r="L144" s="60" t="n">
        <v>30</v>
      </c>
      <c r="M144" s="60" t="n">
        <v>-33</v>
      </c>
      <c r="N144" s="60" t="n">
        <v>20</v>
      </c>
      <c r="O144" s="60" t="n">
        <v>0</v>
      </c>
      <c r="P144" s="60" t="n">
        <v>-2</v>
      </c>
      <c r="Q144" s="60" t="n">
        <v>64</v>
      </c>
      <c r="R144" s="60" t="n"/>
    </row>
    <row r="145">
      <c r="A145" s="60" t="n">
        <v>943</v>
      </c>
      <c r="B145" s="60" t="inlineStr">
        <is>
          <t>940</t>
        </is>
      </c>
      <c r="C145" s="60" t="inlineStr">
        <is>
          <t>CSSpot</t>
        </is>
      </c>
      <c r="D145" s="60" t="inlineStr">
        <is>
          <t>Rear Bar</t>
        </is>
      </c>
      <c r="E145" s="60" t="n"/>
      <c r="F145" s="60" t="inlineStr">
        <is>
          <t>Balcony West Bar</t>
        </is>
      </c>
      <c r="G145" s="60" t="inlineStr">
        <is>
          <t>Active</t>
        </is>
      </c>
      <c r="H145" s="60" t="n"/>
      <c r="I145" s="60" t="n">
        <v>8</v>
      </c>
      <c r="J145" s="60" t="n"/>
      <c r="K145" s="60" t="n">
        <v>5</v>
      </c>
      <c r="L145" s="60" t="n"/>
      <c r="M145" s="60" t="n"/>
      <c r="N145" s="60" t="n"/>
      <c r="O145" s="60" t="n"/>
      <c r="P145" s="60" t="n"/>
      <c r="Q145" s="60" t="n"/>
      <c r="R145" s="60" t="inlineStr">
        <is>
          <t>Not in DMX.Details; likely 2404-1801 or 2404-1802</t>
        </is>
      </c>
    </row>
    <row r="146">
      <c r="A146" s="60" t="n">
        <v>944</v>
      </c>
      <c r="B146" s="60" t="inlineStr">
        <is>
          <t>940</t>
        </is>
      </c>
      <c r="C146" s="60" t="inlineStr">
        <is>
          <t>CSSpot</t>
        </is>
      </c>
      <c r="D146" s="60" t="inlineStr">
        <is>
          <t>Rear Bar</t>
        </is>
      </c>
      <c r="E146" s="60" t="n"/>
      <c r="F146" s="60" t="inlineStr">
        <is>
          <t>Balcony West Bar</t>
        </is>
      </c>
      <c r="G146" s="60" t="inlineStr">
        <is>
          <t>Active</t>
        </is>
      </c>
      <c r="H146" s="60" t="n"/>
      <c r="I146" s="60" t="n">
        <v>8</v>
      </c>
      <c r="J146" s="60" t="n"/>
      <c r="K146" s="60" t="n">
        <v>5</v>
      </c>
      <c r="L146" s="60" t="n"/>
      <c r="M146" s="60" t="n"/>
      <c r="N146" s="60" t="n"/>
      <c r="O146" s="60" t="n"/>
      <c r="P146" s="60" t="n"/>
      <c r="Q146" s="60" t="n"/>
      <c r="R146" s="60" t="inlineStr">
        <is>
          <t>Not in DMX.Details; likely 2404-1801 or 2404-1802</t>
        </is>
      </c>
    </row>
    <row r="147">
      <c r="A147" s="60" t="n"/>
      <c r="B147" s="60" t="n"/>
      <c r="C147" s="60" t="inlineStr">
        <is>
          <t>Ketra</t>
        </is>
      </c>
      <c r="D147" s="60" t="inlineStr">
        <is>
          <t>Ketra zone</t>
        </is>
      </c>
      <c r="E147" s="60" t="inlineStr">
        <is>
          <t>Down Stage</t>
        </is>
      </c>
      <c r="F147" s="60" t="inlineStr">
        <is>
          <t>Stage Pots</t>
        </is>
      </c>
      <c r="G147" s="60" t="inlineStr">
        <is>
          <t>Retire</t>
        </is>
      </c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>
        <v>27</v>
      </c>
      <c r="R147" s="60" t="inlineStr">
        <is>
          <t>Control zone of 8 lamps. Replaced by Acclaim C1 / Navis</t>
        </is>
      </c>
    </row>
    <row r="148">
      <c r="A148" s="60" t="n"/>
      <c r="B148" s="60" t="n"/>
      <c r="C148" s="60" t="inlineStr">
        <is>
          <t>Ketra</t>
        </is>
      </c>
      <c r="D148" s="60" t="inlineStr">
        <is>
          <t>Ketra zone</t>
        </is>
      </c>
      <c r="E148" s="60" t="inlineStr">
        <is>
          <t>Centre</t>
        </is>
      </c>
      <c r="F148" s="60" t="inlineStr">
        <is>
          <t>Stage Pots</t>
        </is>
      </c>
      <c r="G148" s="60" t="inlineStr">
        <is>
          <t>Retire</t>
        </is>
      </c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>
        <v>28</v>
      </c>
      <c r="R148" s="60" t="inlineStr">
        <is>
          <t>Control zone of 8 lamps. Replaced by Acclaim C1 / Navis</t>
        </is>
      </c>
    </row>
    <row r="149">
      <c r="A149" s="60" t="n"/>
      <c r="B149" s="60" t="n"/>
      <c r="C149" s="60" t="inlineStr">
        <is>
          <t>Ketra</t>
        </is>
      </c>
      <c r="D149" s="60" t="inlineStr">
        <is>
          <t>Ketra zone</t>
        </is>
      </c>
      <c r="E149" s="60" t="inlineStr">
        <is>
          <t>Wall</t>
        </is>
      </c>
      <c r="F149" s="60" t="inlineStr">
        <is>
          <t>Stage Pots</t>
        </is>
      </c>
      <c r="G149" s="60" t="inlineStr">
        <is>
          <t>Retire</t>
        </is>
      </c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>
        <v>29</v>
      </c>
      <c r="R149" s="60" t="inlineStr">
        <is>
          <t>Control zone of 10 lamps. Replaced by Acclaim C1 / Navis</t>
        </is>
      </c>
    </row>
    <row r="150">
      <c r="A150" s="60" t="n"/>
      <c r="B150" s="60" t="n"/>
      <c r="C150" s="60" t="inlineStr">
        <is>
          <t>Ketra</t>
        </is>
      </c>
      <c r="D150" s="60" t="inlineStr">
        <is>
          <t>Ketra zone</t>
        </is>
      </c>
      <c r="E150" s="60" t="inlineStr">
        <is>
          <t>Up Stage</t>
        </is>
      </c>
      <c r="F150" s="60" t="inlineStr">
        <is>
          <t>Stage Pots</t>
        </is>
      </c>
      <c r="G150" s="60" t="inlineStr">
        <is>
          <t>Retire</t>
        </is>
      </c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>
        <v>30</v>
      </c>
      <c r="R150" s="60" t="inlineStr">
        <is>
          <t>Control zone of 4 lamps. Replaced by Acclaim C1 / Navis</t>
        </is>
      </c>
    </row>
    <row r="151">
      <c r="A151" s="60" t="n"/>
      <c r="B151" s="60" t="n"/>
      <c r="C151" s="60" t="inlineStr">
        <is>
          <t>Ketra</t>
        </is>
      </c>
      <c r="D151" s="60" t="inlineStr">
        <is>
          <t>Ketra zone</t>
        </is>
      </c>
      <c r="E151" s="60" t="inlineStr">
        <is>
          <t>Wall Sconces</t>
        </is>
      </c>
      <c r="F151" s="60" t="inlineStr">
        <is>
          <t>Sconce</t>
        </is>
      </c>
      <c r="G151" s="60" t="inlineStr">
        <is>
          <t>Retire</t>
        </is>
      </c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>
        <v>31</v>
      </c>
      <c r="R151" s="60" t="inlineStr">
        <is>
          <t>Control zone of 12 lamps. Replaced by Acclaim C1 / Navis</t>
        </is>
      </c>
    </row>
    <row r="152">
      <c r="A152" s="60" t="n"/>
      <c r="B152" s="60" t="n"/>
      <c r="C152" s="60" t="inlineStr">
        <is>
          <t>Ketra</t>
        </is>
      </c>
      <c r="D152" s="60" t="inlineStr">
        <is>
          <t>Ketra zone</t>
        </is>
      </c>
      <c r="E152" s="60" t="inlineStr">
        <is>
          <t>Balcony Booth</t>
        </is>
      </c>
      <c r="F152" s="60" t="inlineStr">
        <is>
          <t>Pendants</t>
        </is>
      </c>
      <c r="G152" s="60" t="inlineStr">
        <is>
          <t>Retire</t>
        </is>
      </c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>
        <v>32</v>
      </c>
      <c r="R152" s="60" t="inlineStr">
        <is>
          <t>Control zone of 2 lamps. Replaced by Acclaim C1 / Navis</t>
        </is>
      </c>
    </row>
    <row r="153">
      <c r="A153" s="60" t="n"/>
      <c r="B153" s="60" t="n"/>
      <c r="C153" s="60" t="inlineStr">
        <is>
          <t>Ketra</t>
        </is>
      </c>
      <c r="D153" s="60" t="inlineStr">
        <is>
          <t>Ketra zone</t>
        </is>
      </c>
      <c r="E153" s="60" t="inlineStr">
        <is>
          <t>Main Spots</t>
        </is>
      </c>
      <c r="F153" s="60" t="inlineStr">
        <is>
          <t>Pendants</t>
        </is>
      </c>
      <c r="G153" s="60" t="inlineStr">
        <is>
          <t>Retire</t>
        </is>
      </c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>
        <v>68</v>
      </c>
      <c r="R153" s="60" t="inlineStr">
        <is>
          <t>Control zone. Replaced by Acclaim C1 / Navis</t>
        </is>
      </c>
    </row>
    <row r="154">
      <c r="A154" s="60" t="n"/>
      <c r="B154" s="60" t="n"/>
      <c r="C154" s="60" t="inlineStr">
        <is>
          <t>Ketra</t>
        </is>
      </c>
      <c r="D154" s="60" t="inlineStr">
        <is>
          <t>Ketra zone</t>
        </is>
      </c>
      <c r="E154" s="60" t="inlineStr">
        <is>
          <t>L+R Wash</t>
        </is>
      </c>
      <c r="F154" s="60" t="inlineStr">
        <is>
          <t>Pendants</t>
        </is>
      </c>
      <c r="G154" s="60" t="inlineStr">
        <is>
          <t>Retire</t>
        </is>
      </c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>
        <v>69</v>
      </c>
      <c r="R154" s="60" t="inlineStr">
        <is>
          <t>Control zone. Replaced by Acclaim C1 / Navis</t>
        </is>
      </c>
    </row>
    <row r="155">
      <c r="A155" s="60" t="n"/>
      <c r="B155" s="60" t="n"/>
      <c r="C155" s="60" t="inlineStr">
        <is>
          <t>Ketra</t>
        </is>
      </c>
      <c r="D155" s="60" t="inlineStr">
        <is>
          <t>Ketra zone</t>
        </is>
      </c>
      <c r="E155" s="60" t="inlineStr">
        <is>
          <t>Under Balcony</t>
        </is>
      </c>
      <c r="F155" s="60" t="inlineStr">
        <is>
          <t>Balcony Pots</t>
        </is>
      </c>
      <c r="G155" s="60" t="inlineStr">
        <is>
          <t>Retire</t>
        </is>
      </c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>
        <v>70</v>
      </c>
      <c r="R155" s="60" t="inlineStr">
        <is>
          <t>Control zone. Replaced by Acclaim C1 / Navis</t>
        </is>
      </c>
    </row>
    <row r="156">
      <c r="A156" s="60" t="n"/>
      <c r="B156" s="60" t="n"/>
      <c r="C156" s="60" t="inlineStr">
        <is>
          <t>Ketra</t>
        </is>
      </c>
      <c r="D156" s="60" t="inlineStr">
        <is>
          <t>Ketra zone</t>
        </is>
      </c>
      <c r="E156" s="60" t="inlineStr">
        <is>
          <t>Main Wash</t>
        </is>
      </c>
      <c r="F156" s="60" t="inlineStr">
        <is>
          <t>Pendants</t>
        </is>
      </c>
      <c r="G156" s="60" t="inlineStr">
        <is>
          <t>Retire</t>
        </is>
      </c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>
        <v>71</v>
      </c>
      <c r="R156" s="60" t="inlineStr">
        <is>
          <t>Control zone. Replaced by Acclaim C1 / Navis</t>
        </is>
      </c>
    </row>
    <row r="157">
      <c r="A157" s="60" t="n"/>
      <c r="B157" s="60" t="n"/>
      <c r="C157" s="60" t="inlineStr">
        <is>
          <t>Ketra</t>
        </is>
      </c>
      <c r="D157" s="60" t="inlineStr">
        <is>
          <t>Ketra zone</t>
        </is>
      </c>
      <c r="E157" s="60" t="inlineStr">
        <is>
          <t>Balcony</t>
        </is>
      </c>
      <c r="F157" s="60" t="inlineStr">
        <is>
          <t>Pendants</t>
        </is>
      </c>
      <c r="G157" s="60" t="inlineStr">
        <is>
          <t>Retire</t>
        </is>
      </c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>
        <v>72</v>
      </c>
      <c r="R157" s="60" t="inlineStr">
        <is>
          <t>Control zone. Replaced by Acclaim C1 / Navis</t>
        </is>
      </c>
    </row>
    <row r="158">
      <c r="A158" s="60" t="n"/>
      <c r="B158" s="60" t="n"/>
      <c r="C158" s="60" t="inlineStr">
        <is>
          <t>Ketra</t>
        </is>
      </c>
      <c r="D158" s="60" t="inlineStr">
        <is>
          <t>Ketra zone</t>
        </is>
      </c>
      <c r="E158" s="60" t="inlineStr">
        <is>
          <t>L+R Spots</t>
        </is>
      </c>
      <c r="F158" s="60" t="inlineStr">
        <is>
          <t>Pendants</t>
        </is>
      </c>
      <c r="G158" s="60" t="inlineStr">
        <is>
          <t>Retire</t>
        </is>
      </c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>
        <v>73</v>
      </c>
      <c r="R158" s="60" t="inlineStr">
        <is>
          <t>Control zone. Replaced by Acclaim C1 / Navis</t>
        </is>
      </c>
    </row>
    <row r="159">
      <c r="A159" s="60" t="n"/>
      <c r="B159" s="60" t="n"/>
      <c r="C159" s="60" t="inlineStr">
        <is>
          <t>AW-252</t>
        </is>
      </c>
      <c r="D159" s="60" t="inlineStr">
        <is>
          <t>AW bar</t>
        </is>
      </c>
      <c r="E159" s="60" t="inlineStr">
        <is>
          <t>AW bar 1</t>
        </is>
      </c>
      <c r="F159" s="60" t="inlineStr">
        <is>
          <t>Stage</t>
        </is>
      </c>
      <c r="G159" s="60" t="inlineStr">
        <is>
          <t>Not deployed</t>
        </is>
      </c>
      <c r="H159" s="60" t="inlineStr">
        <is>
          <t>ZLLU-A038</t>
        </is>
      </c>
      <c r="I159" s="60" t="n"/>
      <c r="J159" s="60" t="n"/>
      <c r="K159" s="60" t="n">
        <v>3</v>
      </c>
      <c r="L159" s="60" t="n"/>
      <c r="M159" s="60" t="n"/>
      <c r="N159" s="60" t="n"/>
      <c r="O159" s="60" t="n"/>
      <c r="P159" s="60" t="n"/>
      <c r="Q159" s="60" t="n">
        <v>67</v>
      </c>
      <c r="R159" s="60" t="inlineStr">
        <is>
          <t>Not currently deployed. Old ch 67 drove all 6 together; will be patched individually</t>
        </is>
      </c>
    </row>
    <row r="160">
      <c r="A160" s="60" t="n"/>
      <c r="B160" s="60" t="n"/>
      <c r="C160" s="60" t="inlineStr">
        <is>
          <t>AW-252</t>
        </is>
      </c>
      <c r="D160" s="60" t="inlineStr">
        <is>
          <t>AW bar</t>
        </is>
      </c>
      <c r="E160" s="60" t="inlineStr">
        <is>
          <t>AW bar 2</t>
        </is>
      </c>
      <c r="F160" s="60" t="inlineStr">
        <is>
          <t>Stage</t>
        </is>
      </c>
      <c r="G160" s="60" t="inlineStr">
        <is>
          <t>Not deployed</t>
        </is>
      </c>
      <c r="H160" s="60" t="inlineStr">
        <is>
          <t>ZLLU-A039</t>
        </is>
      </c>
      <c r="I160" s="60" t="n"/>
      <c r="J160" s="60" t="n"/>
      <c r="K160" s="60" t="n">
        <v>3</v>
      </c>
      <c r="L160" s="60" t="n"/>
      <c r="M160" s="60" t="n"/>
      <c r="N160" s="60" t="n"/>
      <c r="O160" s="60" t="n"/>
      <c r="P160" s="60" t="n"/>
      <c r="Q160" s="60" t="n">
        <v>67</v>
      </c>
      <c r="R160" s="60" t="inlineStr">
        <is>
          <t>Not currently deployed. Old ch 67 drove all 6 together; will be patched individually</t>
        </is>
      </c>
    </row>
    <row r="161">
      <c r="A161" s="60" t="n"/>
      <c r="B161" s="60" t="n"/>
      <c r="C161" s="60" t="inlineStr">
        <is>
          <t>AW-252</t>
        </is>
      </c>
      <c r="D161" s="60" t="inlineStr">
        <is>
          <t>AW bar</t>
        </is>
      </c>
      <c r="E161" s="60" t="inlineStr">
        <is>
          <t>AW bar 3</t>
        </is>
      </c>
      <c r="F161" s="60" t="inlineStr">
        <is>
          <t>Stage</t>
        </is>
      </c>
      <c r="G161" s="60" t="inlineStr">
        <is>
          <t>Not deployed</t>
        </is>
      </c>
      <c r="H161" s="60" t="inlineStr">
        <is>
          <t>ZLLU-A040</t>
        </is>
      </c>
      <c r="I161" s="60" t="n"/>
      <c r="J161" s="60" t="n"/>
      <c r="K161" s="60" t="n">
        <v>3</v>
      </c>
      <c r="L161" s="60" t="n"/>
      <c r="M161" s="60" t="n"/>
      <c r="N161" s="60" t="n"/>
      <c r="O161" s="60" t="n"/>
      <c r="P161" s="60" t="n"/>
      <c r="Q161" s="60" t="n">
        <v>67</v>
      </c>
      <c r="R161" s="60" t="inlineStr">
        <is>
          <t>Not currently deployed. Old ch 67 drove all 6 together; will be patched individually</t>
        </is>
      </c>
    </row>
    <row r="162">
      <c r="A162" s="60" t="n"/>
      <c r="B162" s="60" t="n"/>
      <c r="C162" s="60" t="inlineStr">
        <is>
          <t>AW-252</t>
        </is>
      </c>
      <c r="D162" s="60" t="inlineStr">
        <is>
          <t>AW bar</t>
        </is>
      </c>
      <c r="E162" s="60" t="inlineStr">
        <is>
          <t>AW bar 4</t>
        </is>
      </c>
      <c r="F162" s="60" t="inlineStr">
        <is>
          <t>Stage</t>
        </is>
      </c>
      <c r="G162" s="60" t="inlineStr">
        <is>
          <t>Not deployed</t>
        </is>
      </c>
      <c r="H162" s="60" t="inlineStr">
        <is>
          <t>ZLLU-A041</t>
        </is>
      </c>
      <c r="I162" s="60" t="n"/>
      <c r="J162" s="60" t="n"/>
      <c r="K162" s="60" t="n">
        <v>3</v>
      </c>
      <c r="L162" s="60" t="n"/>
      <c r="M162" s="60" t="n"/>
      <c r="N162" s="60" t="n"/>
      <c r="O162" s="60" t="n"/>
      <c r="P162" s="60" t="n"/>
      <c r="Q162" s="60" t="n">
        <v>67</v>
      </c>
      <c r="R162" s="60" t="inlineStr">
        <is>
          <t>Not currently deployed. Old ch 67 drove all 6 together; will be patched individually</t>
        </is>
      </c>
    </row>
    <row r="163">
      <c r="A163" s="60" t="n"/>
      <c r="B163" s="60" t="n"/>
      <c r="C163" s="60" t="inlineStr">
        <is>
          <t>AW-252</t>
        </is>
      </c>
      <c r="D163" s="60" t="inlineStr">
        <is>
          <t>AW bar</t>
        </is>
      </c>
      <c r="E163" s="60" t="inlineStr">
        <is>
          <t>AW bar 5</t>
        </is>
      </c>
      <c r="F163" s="60" t="inlineStr">
        <is>
          <t>Stage</t>
        </is>
      </c>
      <c r="G163" s="60" t="inlineStr">
        <is>
          <t>Not deployed</t>
        </is>
      </c>
      <c r="H163" s="60" t="inlineStr">
        <is>
          <t>ZLLU-A042</t>
        </is>
      </c>
      <c r="I163" s="60" t="n"/>
      <c r="J163" s="60" t="n"/>
      <c r="K163" s="60" t="n">
        <v>3</v>
      </c>
      <c r="L163" s="60" t="n"/>
      <c r="M163" s="60" t="n"/>
      <c r="N163" s="60" t="n"/>
      <c r="O163" s="60" t="n"/>
      <c r="P163" s="60" t="n"/>
      <c r="Q163" s="60" t="n">
        <v>67</v>
      </c>
      <c r="R163" s="60" t="inlineStr">
        <is>
          <t>Not currently deployed. Old ch 67 drove all 6 together; will be patched individually</t>
        </is>
      </c>
    </row>
    <row r="164">
      <c r="A164" s="60" t="n"/>
      <c r="B164" s="60" t="n"/>
      <c r="C164" s="60" t="inlineStr">
        <is>
          <t>AW-252</t>
        </is>
      </c>
      <c r="D164" s="60" t="inlineStr">
        <is>
          <t>AW bar</t>
        </is>
      </c>
      <c r="E164" s="60" t="inlineStr">
        <is>
          <t>AW bar 6</t>
        </is>
      </c>
      <c r="F164" s="60" t="inlineStr">
        <is>
          <t>Stage</t>
        </is>
      </c>
      <c r="G164" s="60" t="inlineStr">
        <is>
          <t>Not deployed</t>
        </is>
      </c>
      <c r="H164" s="60" t="inlineStr">
        <is>
          <t>ZLLU-A043</t>
        </is>
      </c>
      <c r="I164" s="60" t="n"/>
      <c r="J164" s="60" t="n"/>
      <c r="K164" s="60" t="n">
        <v>3</v>
      </c>
      <c r="L164" s="60" t="n"/>
      <c r="M164" s="60" t="n"/>
      <c r="N164" s="60" t="n"/>
      <c r="O164" s="60" t="n"/>
      <c r="P164" s="60" t="n"/>
      <c r="Q164" s="60" t="n">
        <v>67</v>
      </c>
      <c r="R164" s="60" t="inlineStr">
        <is>
          <t>Not currently deployed. Old ch 67 drove all 6 together; will be patched individually; assets.xlsx: No Power</t>
        </is>
      </c>
    </row>
  </sheetData>
  <autoFilter ref="A1:R16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0" workbookViewId="0">
      <selection activeCell="H74" sqref="H74"/>
    </sheetView>
  </sheetViews>
  <sheetFormatPr baseColWidth="10" defaultRowHeight="16"/>
  <cols>
    <col width="11.1640625" customWidth="1" style="1" min="1" max="1"/>
    <col width="16.1640625" bestFit="1" customWidth="1" min="2" max="2"/>
    <col width="8.1640625" bestFit="1" customWidth="1" style="1" min="3" max="3"/>
    <col width="134" bestFit="1" customWidth="1" min="4" max="4"/>
    <col width="13.83203125" customWidth="1" min="8" max="8"/>
  </cols>
  <sheetData>
    <row r="1" customFormat="1" s="56">
      <c r="A1" s="57" t="inlineStr">
        <is>
          <t>Playback</t>
        </is>
      </c>
      <c r="B1" s="56" t="inlineStr">
        <is>
          <t>Title</t>
        </is>
      </c>
      <c r="C1" s="57" t="inlineStr">
        <is>
          <t>IsSimple</t>
        </is>
      </c>
      <c r="D1" s="56" t="inlineStr">
        <is>
          <t>Description</t>
        </is>
      </c>
    </row>
    <row r="2">
      <c r="A2" s="1" t="n">
        <v>8</v>
      </c>
      <c r="B2" t="inlineStr">
        <is>
          <t>Sconce White</t>
        </is>
      </c>
      <c r="C2" s="1" t="inlineStr">
        <is>
          <t>Y</t>
        </is>
      </c>
      <c r="D2" s="55" t="inlineStr">
        <is>
          <t>Sconce Lights (side wall in lower auditorium) - all white</t>
        </is>
      </c>
    </row>
    <row r="3">
      <c r="A3" s="1" t="n">
        <v>9</v>
      </c>
      <c r="B3" t="inlineStr">
        <is>
          <t>Stage Pots White</t>
        </is>
      </c>
      <c r="C3" s="1" t="inlineStr">
        <is>
          <t>Y</t>
        </is>
      </c>
      <c r="D3" t="inlineStr">
        <is>
          <t>Stage Pot Lights - all white</t>
        </is>
      </c>
    </row>
    <row r="4">
      <c r="A4" s="1" t="n">
        <v>10</v>
      </c>
      <c r="B4" t="inlineStr">
        <is>
          <t>House White</t>
        </is>
      </c>
      <c r="C4" s="1" t="inlineStr">
        <is>
          <t>Y</t>
        </is>
      </c>
      <c r="D4" t="inlineStr">
        <is>
          <t>Main house, including upper and lower balcony - all white.</t>
        </is>
      </c>
    </row>
    <row r="5">
      <c r="A5" s="1" t="n">
        <v>21</v>
      </c>
      <c r="B5" t="inlineStr">
        <is>
          <t>Base Look</t>
        </is>
      </c>
      <c r="C5" s="1" t="inlineStr">
        <is>
          <t>Y</t>
        </is>
      </c>
      <c r="D5" t="inlineStr">
        <is>
          <t>This is the base look for the service. Used before and after service. Medium Low, colourful stage glow. No Cross.</t>
        </is>
      </c>
    </row>
    <row r="6">
      <c r="A6" s="1" t="n">
        <v>22</v>
      </c>
      <c r="B6" t="inlineStr">
        <is>
          <t>Cross</t>
        </is>
      </c>
      <c r="C6" s="1" t="inlineStr">
        <is>
          <t>Y</t>
        </is>
      </c>
      <c r="D6" t="inlineStr">
        <is>
          <t>Cross control only</t>
        </is>
      </c>
    </row>
    <row r="7">
      <c r="A7" s="1" t="n">
        <v>23</v>
      </c>
      <c r="B7" t="inlineStr">
        <is>
          <t>Vox1</t>
        </is>
      </c>
      <c r="C7" s="1" t="inlineStr">
        <is>
          <t>Y</t>
        </is>
      </c>
      <c r="D7" t="inlineStr">
        <is>
          <t>Add this in as we are about to sing. Used as the musicians are getting ready; the moments before the first words. House Low, stage set to basic theme, no face light</t>
        </is>
      </c>
    </row>
    <row r="8">
      <c r="A8" s="1" t="n">
        <v>24</v>
      </c>
      <c r="B8" t="inlineStr">
        <is>
          <t>Vox2</t>
        </is>
      </c>
      <c r="C8" s="1" t="inlineStr">
        <is>
          <t>Y</t>
        </is>
      </c>
      <c r="D8" t="inlineStr">
        <is>
          <t>Add this in during musical worship; Used for the main worship set. This adds in face light to the vocal and band area</t>
        </is>
      </c>
    </row>
    <row r="9">
      <c r="A9" s="1" t="n">
        <v>25</v>
      </c>
      <c r="B9" t="inlineStr">
        <is>
          <t>Message</t>
        </is>
      </c>
      <c r="C9" s="1" t="inlineStr">
        <is>
          <t>Y</t>
        </is>
      </c>
      <c r="D9" t="inlineStr">
        <is>
          <t>Used for the pastor's message. Up stage is darker. House is brighter</t>
        </is>
      </c>
    </row>
    <row r="10">
      <c r="A10" s="1" t="n">
        <v>26</v>
      </c>
      <c r="B10" t="inlineStr">
        <is>
          <t>Special</t>
        </is>
      </c>
      <c r="C10" s="1" t="inlineStr">
        <is>
          <t>Y</t>
        </is>
      </c>
      <c r="D10" t="inlineStr">
        <is>
          <t>Used for a special effects- perhaps to be used for the entire of a series.</t>
        </is>
      </c>
    </row>
    <row r="11">
      <c r="A11" s="54" t="inlineStr">
        <is>
          <t>1</t>
        </is>
      </c>
      <c r="B11" t="inlineStr">
        <is>
          <t>Tech Desks</t>
        </is>
      </c>
      <c r="C11" s="1" t="inlineStr">
        <is>
          <t>N</t>
        </is>
      </c>
      <c r="D11" t="inlineStr">
        <is>
          <t>The balcony tech area only.</t>
        </is>
      </c>
    </row>
    <row r="12">
      <c r="A12" s="54" t="inlineStr">
        <is>
          <t>2-4</t>
        </is>
      </c>
      <c r="B12" t="inlineStr">
        <is>
          <t>Wall Gobos</t>
        </is>
      </c>
      <c r="C12" s="1" t="inlineStr">
        <is>
          <t>N</t>
        </is>
      </c>
      <c r="D12" t="inlineStr">
        <is>
          <t>RGB colour mixing</t>
        </is>
      </c>
    </row>
    <row r="13">
      <c r="A13" s="54" t="inlineStr">
        <is>
          <t>5-7</t>
        </is>
      </c>
      <c r="B13" t="inlineStr">
        <is>
          <t>Thrust</t>
        </is>
      </c>
      <c r="C13" s="1" t="inlineStr">
        <is>
          <t>N</t>
        </is>
      </c>
      <c r="D13" t="inlineStr">
        <is>
          <t>RGB colour mixing</t>
        </is>
      </c>
    </row>
    <row r="14">
      <c r="A14" s="54" t="inlineStr">
        <is>
          <t>11-13</t>
        </is>
      </c>
      <c r="B14" t="inlineStr">
        <is>
          <t>Lightbars</t>
        </is>
      </c>
      <c r="C14" s="1" t="inlineStr">
        <is>
          <t>N</t>
        </is>
      </c>
      <c r="D14" t="inlineStr">
        <is>
          <t>RGB colour mixing (Fall 2019 - Geometrics)</t>
        </is>
      </c>
    </row>
    <row r="15">
      <c r="A15" s="53" t="inlineStr">
        <is>
          <t>14-16</t>
        </is>
      </c>
      <c r="B15" t="inlineStr">
        <is>
          <t>Stage Pots</t>
        </is>
      </c>
      <c r="C15" s="1" t="inlineStr">
        <is>
          <t>N</t>
        </is>
      </c>
      <c r="D15" t="inlineStr">
        <is>
          <t>RGB colour mixing</t>
        </is>
      </c>
    </row>
    <row r="16">
      <c r="A16" s="53" t="inlineStr">
        <is>
          <t>17-19</t>
        </is>
      </c>
      <c r="B16" t="inlineStr">
        <is>
          <t>Wall Wash</t>
        </is>
      </c>
      <c r="C16" s="1" t="inlineStr">
        <is>
          <t>N</t>
        </is>
      </c>
      <c r="D16" t="inlineStr">
        <is>
          <t>RGB colour mixing</t>
        </is>
      </c>
    </row>
    <row r="17">
      <c r="A17" s="53" t="inlineStr">
        <is>
          <t>18-20</t>
        </is>
      </c>
      <c r="B17" t="inlineStr">
        <is>
          <t>Top Wash</t>
        </is>
      </c>
      <c r="C17" s="1" t="inlineStr">
        <is>
          <t>N</t>
        </is>
      </c>
      <c r="D17" t="inlineStr">
        <is>
          <t>RGB colour mixing</t>
        </is>
      </c>
    </row>
    <row r="18">
      <c r="A18" s="53" t="inlineStr">
        <is>
          <t>21-23</t>
        </is>
      </c>
      <c r="B18" t="inlineStr">
        <is>
          <t>Pillars ODD</t>
        </is>
      </c>
      <c r="C18" s="1" t="inlineStr">
        <is>
          <t>N</t>
        </is>
      </c>
      <c r="D18" t="inlineStr">
        <is>
          <t>RGB colour mixing</t>
        </is>
      </c>
    </row>
    <row r="19">
      <c r="A19" s="53" t="inlineStr">
        <is>
          <t>24-26</t>
        </is>
      </c>
      <c r="B19" t="inlineStr">
        <is>
          <t>Pillars EVEN</t>
        </is>
      </c>
      <c r="C19" s="1" t="inlineStr">
        <is>
          <t>N</t>
        </is>
      </c>
      <c r="D19" t="inlineStr">
        <is>
          <t>RGB colour mixing</t>
        </is>
      </c>
    </row>
    <row r="20">
      <c r="A20" s="53" t="inlineStr">
        <is>
          <t>27</t>
        </is>
      </c>
      <c r="B20" t="inlineStr">
        <is>
          <t>Pillars MULTI</t>
        </is>
      </c>
      <c r="C20" s="1" t="inlineStr">
        <is>
          <t>N</t>
        </is>
      </c>
      <c r="D20" t="inlineStr">
        <is>
          <t>Multiple colours</t>
        </is>
      </c>
    </row>
    <row r="21">
      <c r="A21" s="53" t="inlineStr">
        <is>
          <t>38-40</t>
        </is>
      </c>
      <c r="B21" t="inlineStr">
        <is>
          <t>Towers</t>
        </is>
      </c>
      <c r="C21" s="1" t="inlineStr">
        <is>
          <t>N</t>
        </is>
      </c>
      <c r="D21" t="inlineStr">
        <is>
          <t>RGB colour mixing</t>
        </is>
      </c>
    </row>
    <row r="22">
      <c r="A22" s="53" t="inlineStr">
        <is>
          <t>41-80</t>
        </is>
      </c>
      <c r="B22" t="inlineStr">
        <is>
          <t>Unsed</t>
        </is>
      </c>
      <c r="C22" s="1" t="inlineStr">
        <is>
          <t>N</t>
        </is>
      </c>
      <c r="D22" t="inlineStr">
        <is>
          <t>Use for your own purpose. Be aware that others may overwriten.</t>
        </is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Terry Doner</dc:creator>
  <dcterms:created xsi:type="dcterms:W3CDTF">2023-09-21T14:23:54Z</dcterms:created>
  <dcterms:modified xsi:type="dcterms:W3CDTF">2026-10-02T23:04:46Z</dcterms:modified>
  <cp:lastModifiedBy>Terry Doner</cp:lastModifiedBy>
</cp:coreProperties>
</file>