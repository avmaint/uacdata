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8866A086-482F-7046-9EAE-D859752DDC87}" xr6:coauthVersionLast="47" xr6:coauthVersionMax="47" xr10:uidLastSave="{00000000-0000-0000-0000-000000000000}"/>
  <bookViews>
    <workbookView xWindow="8320" yWindow="1460" windowWidth="2192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6" i="1"/>
  <c r="F57" i="1"/>
  <c r="F58" i="1"/>
  <c r="F59" i="1"/>
  <c r="F60" i="1"/>
  <c r="F63" i="1"/>
  <c r="F64" i="1"/>
  <c r="F67" i="1"/>
  <c r="F68" i="1"/>
  <c r="F70" i="1"/>
  <c r="F71" i="1"/>
  <c r="F72" i="1"/>
  <c r="F69" i="1"/>
  <c r="F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<sst xmlns="http://schemas.openxmlformats.org/spreadsheetml/2006/main" count="504" uniqueCount="300">
  <si>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</si>
  <si>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</si>
  <si>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</si>
  <si>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</si>
  <si>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</si>
  <si>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</si>
  <si>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</si>
  <si>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</si>
  <si>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</si>
  <si>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</si>
  <si>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</si>
  <si>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</si>
  <si>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</si>
  <si>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</si>
  <si>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</si>
  <si>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</si>
  <si>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</si>
  <si>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</si>
  <si>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</si>
  <si>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</si>
  <si>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</si>
  <si>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</si>
  <si>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</si>
  <si>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</si>
  <si>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</si>
  <si>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</si>
  <si>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</si>
  <si>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</si>
  <si>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</si>
  <si>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</si>
  <si>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</si>
  <si>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</si>
  <si>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</si>
  <si>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</si>
  <si>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</si>
  <si>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</si>
  <si>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</si>
  <si>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</si>
  <si>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</si>
  <si>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</si>
  <si>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</si>
  <si>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</si>
  <si>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</si>
  <si>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</si>
  <si>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</si>
  <si>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</si>
  <si>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</si>
  <si>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</si>
  <si>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</si>
  <si>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</si>
  <si>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</si>
  <si>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</si>
  <si>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</si>
  <si>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</si>
  <si>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</si>
  <si>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</si>
  <si>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</si>
  <si>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</si>
  <si>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</si>
  <si>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</si>
  <si>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</si>
  <si>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</si>
  <si>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</si>
  <si>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</si>
  <si>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</si>
  <si>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</si>
  <si>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</si>
  <si>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</si>
  <si>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</si>
  <si>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</si>
  <si>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</si>
  <si>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</si>
  <si>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</si>
  <si>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</si>
  <si>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</si>
  <si>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</si>
  <si>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</si>
  <si>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</si>
  <si>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</si>
  <si>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</si>
  <si>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</si>
  <si>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</si>
  <si>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</si>
  <si>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</si>
  <si>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</si>
  <si>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</si>
  <si>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</si>
  <si>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</si>
  <si>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</si>
  <si>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</si>
  <si>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</si>
  <si>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</si>
  <si>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</si>
  <si>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</si>
  <si>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</si>
  <si>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</si>
  <si>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</si>
  <si>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</si>
  <si>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</si>
  <si>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</si>
  <si>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</si>
  <si>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</si>
  <si>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</si>
  <si>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</si>
  <si>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</si>
  <si>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</si>
  <si>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</si>
  <si>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</si>
  <si>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</si>
  <si>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</si>
  <si>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</si>
  <si>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</si>
  <si>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</si>
  <si>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</si>
  <si>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</si>
  <si>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</si>
  <si>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</si>
  <si>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</si>
  <si>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</si>
  <si>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</si>
  <si>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</si>
  <si>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</si>
  <si>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</si>
  <si>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</si>
  <si>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</si>
  <si>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</si>
  <si>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</si>
  <si>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</si>
  <si>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</si>
  <si>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</si>
  <si>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</si>
  <si>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</si>
  <si>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</si>
  <si>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</si>
  <si>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</si>
  <si>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</si>
  <si>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</si>
  <si>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</si>
  <si>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</si>
  <si>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</si>
  <si>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</si>
  <si>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</si>
  <si>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</si>
  <si>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</si>
  <si>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</si>
  <si>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</si>
  <si>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</si>
  <si>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</si>
  <si>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</si>
  <si>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</si>
  <si>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</si>
  <si>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</si>
  <si>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</si>
  <si>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</si>
  <si>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</si>
  <si>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</si>
  <si>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</si>
  <si>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</si>
  <si>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</si>
  <si>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</si>
  <si>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</si>
  <si>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</si>
  <si>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</si>
  <si>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</si>
  <si>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</si>
  <si>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</si>
  <si>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</si>
  <si>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</si>
  <si>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</si>
  <si>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</si>
  <si>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</si>
  <si>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</si>
  <si>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</si>
  <si>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</si>
  <si>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</si>
  <si>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</si>
  <si>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</si>
  <si>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</si>
  <si>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</si>
  <si>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</si>
  <si>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</si>
  <si>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</si>
  <si>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</si>
  <si>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</si>
  <si>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</si>
  <si>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</si>
  <si>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</si>
  <si>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</si>
  <si>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</si>
  <si>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</si>
  <si>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</si>
  <si>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</si>
  <si>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</si>
  <si>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</si>
  <si>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</si>
  <si>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</si>
  <si>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</si>
  <si>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</si>
  <si>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</si>
  <si>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</si>
  <si>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</si>
  <si>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</si>
  <si>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</si>
  <si>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</si>
  <si>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</si>
  <si>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</si>
  <si>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</si>
  <si>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</si>
  <si>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</si>
  <si>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</si>
  <si>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</si>
  <si>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</si>
  <si>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</si>
  <si>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</si>
  <si>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</si>
  <si>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</si>
  <si>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</si>
  <si>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</si>
  <si>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</si>
  <si>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</si>
  <si>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</si>
  <si>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</si>
  <si>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</si>
  <si>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</si>
  <si>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</si>
  <si>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</si>
  <si>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</si>
  <si>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</si>
  <si>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</si>
  <si>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</si>
  <si>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</si>
  <si>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</si>
  <si>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</si>
  <si>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</si>
  <si>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</si>
  <si>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</si>
  <si>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</si>
  <si>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</si>
  <si>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</si>
  <si>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</si>
  <si>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</si>
  <si>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</si>
  <si>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</si>
  <si>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</si>
  <si>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</si>
  <si>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</si>
  <si>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</si>
  <si>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</si>
  <si>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</si>
  <si>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</si>
  <si>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</si>
  <si>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</si>
  <si>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</si>
  <si>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</si>
  <si>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</si>
  <si>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</si>
  <si>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</si>
  <si>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</si>
  <si>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</si>
  <si>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</si>
  <si>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</si>
  <si>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</si>
  <si>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</si>
  <si>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</si>
  <si>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</si>
  <si>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</si>
  <si>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</si>
  <si>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</si>
  <si>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</si>
  <si>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</si>
  <si>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</si>
  <si>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</si>
  <si>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</si>
  <si>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</si>
  <si>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</si>
  <si>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</si>
  <si>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</si>
  <si>
    <t>2603-1203</t>
  </si>
  <si>
    <t>98-BA-5F-91-07-6A</t>
  </si>
  <si>
    <t>Omada</t>
  </si>
  <si>
    <t>192.168.201.105</t>
  </si>
  <si>
    <t>7C-2E-0D-A8-52-4F</t>
  </si>
  <si>
    <t>7C-2E-0D-20-68-69</t>
  </si>
  <si>
    <t>00-1D-56-04-CC-E3</t>
  </si>
  <si>
    <t xml:space="preserve">00:1d:56:03:81:45 </t>
  </si>
  <si>
    <t>Unknown Mac</t>
  </si>
  <si>
    <t>192.168.201.110</t>
  </si>
  <si>
    <t>2411-1330</t>
  </si>
  <si>
    <t>2507-1000</t>
  </si>
  <si>
    <t>D0-C8-57-81-F2-19</t>
  </si>
  <si>
    <t>NDI</t>
  </si>
  <si>
    <t>D0-C8-57-82-74-B9</t>
  </si>
  <si>
    <t>192.168.204.32</t>
  </si>
  <si>
    <t>192.168.204.31</t>
  </si>
  <si>
    <t>14-3F-A6-B8-EA-5D</t>
  </si>
  <si>
    <t>192.168.207.100</t>
  </si>
  <si>
    <t>2310-1700</t>
  </si>
  <si>
    <t>Lobby TV</t>
  </si>
  <si>
    <t>2603-1206</t>
  </si>
  <si>
    <t>192.168.201.103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</si>
</sst>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0" borderId="4" xfId="0" applyNumberFormat="1" applyFont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88" totalsRowShown="0" headerRowDxfId="12" dataDxfId="11">
  <autoFilter ref="A1:K88" xr:uid="{157AC5DF-1534-C144-A7F4-07F88FA8E6FA}"/>
  <sortState xmlns:xlrd2="http://schemas.microsoft.com/office/spreadsheetml/2017/richdata2" ref="A2:K73">
    <sortCondition ref="A2:A73"/>
    <sortCondition ref="B2:B73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7"/>
  <sheetViews>
    <sheetView tabSelected="1" zoomScale="180" zoomScaleNormal="180" workbookViewId="0">
      <pane xSplit="2" ySplit="1" topLeftCell="C78" activePane="bottomRight" state="frozen"/>
      <selection pane="topRight" activeCell="C1" sqref="C1"/>
      <selection pane="bottomLeft" activeCell="A2" sqref="A2"/>
      <selection pane="bottomRight" activeCell="H88" sqref="H88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149</v>
      </c>
      <c r="B1" s="2" t="s">
        <v>166</v>
      </c>
      <c r="C1" s="2" t="s">
        <v>147</v>
      </c>
      <c r="D1" s="2" t="s">
        <v>146</v>
      </c>
      <c r="E1" s="2" t="s">
        <v>145</v>
      </c>
      <c r="F1" s="2" t="s">
        <v>144</v>
      </c>
      <c r="G1" s="2" t="s">
        <v>234</v>
      </c>
      <c r="H1" s="2" t="s">
        <v>171</v>
      </c>
      <c r="I1" s="2" t="s">
        <v>175</v>
      </c>
      <c r="J1" s="2" t="s">
        <v>148</v>
      </c>
      <c r="K1" s="2" t="s">
        <v>143</v>
      </c>
    </row>
    <row r="2" spans="1:11" x14ac:dyDescent="0.2">
      <c r="A2" s="5" t="s">
        <v>150</v>
      </c>
      <c r="B2" s="5"/>
      <c r="C2" s="6" t="s">
        <v>152</v>
      </c>
      <c r="D2" s="6"/>
      <c r="E2" s="6" t="s">
        <v>154</v>
      </c>
      <c r="F2" s="7" t="str">
        <f>CONCATENATE("http://", E2)</f>
        <v>http://192.168.0.208</v>
      </c>
      <c r="G2" s="7"/>
      <c r="H2" s="8" t="s">
        <v>172</v>
      </c>
      <c r="I2" s="9"/>
      <c r="J2" s="6" t="s">
        <v>151</v>
      </c>
      <c r="K2" s="6"/>
    </row>
    <row r="3" spans="1:11" x14ac:dyDescent="0.2">
      <c r="A3" s="6" t="s">
        <v>205</v>
      </c>
      <c r="B3" s="10" t="s">
        <v>196</v>
      </c>
      <c r="C3" s="5" t="s">
        <v>204</v>
      </c>
      <c r="D3" s="6"/>
      <c r="E3" s="6" t="s">
        <v>203</v>
      </c>
      <c r="F3" s="6"/>
      <c r="G3" s="6"/>
      <c r="H3" s="8" t="s">
        <v>172</v>
      </c>
      <c r="I3" s="9"/>
      <c r="J3" s="5" t="s">
        <v>202</v>
      </c>
      <c r="K3" s="6"/>
    </row>
    <row r="4" spans="1:11" x14ac:dyDescent="0.2">
      <c r="A4" s="5" t="s">
        <v>158</v>
      </c>
      <c r="B4" s="5"/>
      <c r="C4" s="6" t="s">
        <v>160</v>
      </c>
      <c r="D4" s="6"/>
      <c r="E4" s="6" t="s">
        <v>161</v>
      </c>
      <c r="F4" s="6"/>
      <c r="G4" s="6"/>
      <c r="H4" s="8" t="s">
        <v>173</v>
      </c>
      <c r="I4" s="9"/>
      <c r="J4" s="6" t="s">
        <v>159</v>
      </c>
      <c r="K4" s="6"/>
    </row>
    <row r="5" spans="1:11" x14ac:dyDescent="0.2">
      <c r="A5" s="5" t="s">
        <v>195</v>
      </c>
      <c r="B5" s="10" t="s">
        <v>196</v>
      </c>
      <c r="C5" s="5" t="s">
        <v>197</v>
      </c>
      <c r="D5" s="6"/>
      <c r="E5" s="6" t="s">
        <v>198</v>
      </c>
      <c r="F5" s="6"/>
      <c r="G5" s="6"/>
      <c r="H5" s="8" t="s">
        <v>172</v>
      </c>
      <c r="I5" s="9"/>
      <c r="J5" s="6" t="s">
        <v>199</v>
      </c>
      <c r="K5" s="6"/>
    </row>
    <row r="6" spans="1:11" x14ac:dyDescent="0.2">
      <c r="A6" s="5" t="s">
        <v>195</v>
      </c>
      <c r="B6" s="5" t="s">
        <v>200</v>
      </c>
      <c r="C6" s="5" t="s">
        <v>201</v>
      </c>
      <c r="D6" s="6"/>
      <c r="E6" s="6"/>
      <c r="F6" s="6"/>
      <c r="G6" s="6"/>
      <c r="H6" s="8" t="s">
        <v>173</v>
      </c>
      <c r="I6" s="9"/>
      <c r="J6" s="6" t="s">
        <v>220</v>
      </c>
      <c r="K6" s="6"/>
    </row>
    <row r="7" spans="1:11" x14ac:dyDescent="0.2">
      <c r="A7" s="5" t="s">
        <v>228</v>
      </c>
      <c r="B7" s="5"/>
      <c r="C7" s="5" t="s">
        <v>230</v>
      </c>
      <c r="D7" s="6"/>
      <c r="E7" s="6" t="s">
        <v>229</v>
      </c>
      <c r="F7" s="6"/>
      <c r="G7" s="6"/>
      <c r="H7" s="8" t="s">
        <v>172</v>
      </c>
      <c r="I7" s="9"/>
      <c r="J7" s="6"/>
      <c r="K7" s="6"/>
    </row>
    <row r="8" spans="1:11" x14ac:dyDescent="0.2">
      <c r="A8" s="5" t="s">
        <v>165</v>
      </c>
      <c r="B8" s="5"/>
      <c r="C8" s="6" t="s">
        <v>281</v>
      </c>
      <c r="D8" s="6"/>
      <c r="E8" s="6" t="s">
        <v>162</v>
      </c>
      <c r="F8" s="6"/>
      <c r="G8" s="6"/>
      <c r="H8" s="8" t="s">
        <v>172</v>
      </c>
      <c r="I8" s="9"/>
      <c r="J8" s="6"/>
      <c r="K8" s="6"/>
    </row>
    <row r="9" spans="1:11" x14ac:dyDescent="0.2">
      <c r="A9" s="5" t="s">
        <v>164</v>
      </c>
      <c r="B9" s="5"/>
      <c r="C9" s="6" t="s">
        <v>282</v>
      </c>
      <c r="D9" s="6"/>
      <c r="E9" s="6" t="s">
        <v>163</v>
      </c>
      <c r="F9" s="6"/>
      <c r="G9" s="6"/>
      <c r="H9" s="8" t="s">
        <v>172</v>
      </c>
      <c r="I9" s="9"/>
      <c r="J9" s="6"/>
      <c r="K9" s="6"/>
    </row>
    <row r="10" spans="1:11" x14ac:dyDescent="0.2">
      <c r="A10" s="6" t="s">
        <v>215</v>
      </c>
      <c r="B10" s="10" t="s">
        <v>196</v>
      </c>
      <c r="C10" s="5" t="s">
        <v>210</v>
      </c>
      <c r="D10" s="6"/>
      <c r="E10" s="6" t="s">
        <v>209</v>
      </c>
      <c r="F10" s="6"/>
      <c r="G10" s="6"/>
      <c r="H10" s="8" t="s">
        <v>172</v>
      </c>
      <c r="I10" s="9"/>
      <c r="J10" s="6" t="s">
        <v>216</v>
      </c>
      <c r="K10" s="6"/>
    </row>
    <row r="11" spans="1:11" x14ac:dyDescent="0.2">
      <c r="A11" s="6" t="s">
        <v>215</v>
      </c>
      <c r="B11" s="5" t="s">
        <v>200</v>
      </c>
      <c r="C11" s="5" t="s">
        <v>211</v>
      </c>
      <c r="D11" s="6"/>
      <c r="E11" s="6"/>
      <c r="F11" s="6"/>
      <c r="G11" s="6"/>
      <c r="H11" s="8" t="s">
        <v>173</v>
      </c>
      <c r="I11" s="9"/>
      <c r="J11" s="6" t="s">
        <v>219</v>
      </c>
      <c r="K11" s="6"/>
    </row>
    <row r="12" spans="1:11" x14ac:dyDescent="0.2">
      <c r="A12" s="6" t="s">
        <v>221</v>
      </c>
      <c r="B12" s="10" t="s">
        <v>196</v>
      </c>
      <c r="C12" s="5" t="s">
        <v>213</v>
      </c>
      <c r="D12" s="6"/>
      <c r="E12" s="6" t="s">
        <v>212</v>
      </c>
      <c r="F12" s="6"/>
      <c r="G12" s="6"/>
      <c r="H12" s="8" t="s">
        <v>172</v>
      </c>
      <c r="I12" s="9"/>
      <c r="J12" s="6" t="s">
        <v>217</v>
      </c>
      <c r="K12" s="6"/>
    </row>
    <row r="13" spans="1:11" x14ac:dyDescent="0.2">
      <c r="A13" s="6" t="s">
        <v>221</v>
      </c>
      <c r="B13" s="5" t="s">
        <v>200</v>
      </c>
      <c r="C13" s="5" t="s">
        <v>214</v>
      </c>
      <c r="D13" s="6"/>
      <c r="E13" s="6"/>
      <c r="F13" s="6"/>
      <c r="G13" s="6"/>
      <c r="H13" s="8" t="s">
        <v>173</v>
      </c>
      <c r="I13" s="9"/>
      <c r="J13" s="6" t="s">
        <v>218</v>
      </c>
      <c r="K13" s="6"/>
    </row>
    <row r="14" spans="1:11" x14ac:dyDescent="0.2">
      <c r="A14" s="5" t="s">
        <v>222</v>
      </c>
      <c r="B14" s="10" t="s">
        <v>196</v>
      </c>
      <c r="C14" s="5" t="s">
        <v>226</v>
      </c>
      <c r="D14" s="6"/>
      <c r="E14" s="6" t="s">
        <v>225</v>
      </c>
      <c r="F14" s="6"/>
      <c r="G14" s="6"/>
      <c r="H14" s="8" t="s">
        <v>172</v>
      </c>
      <c r="I14" s="9"/>
      <c r="J14" s="6" t="s">
        <v>223</v>
      </c>
      <c r="K14" s="6"/>
    </row>
    <row r="15" spans="1:11" x14ac:dyDescent="0.2">
      <c r="A15" s="5" t="s">
        <v>222</v>
      </c>
      <c r="B15" s="5" t="s">
        <v>200</v>
      </c>
      <c r="C15" s="5" t="s">
        <v>227</v>
      </c>
      <c r="D15" s="6"/>
      <c r="E15" s="6"/>
      <c r="F15" s="6"/>
      <c r="G15" s="6"/>
      <c r="H15" s="8" t="s">
        <v>173</v>
      </c>
      <c r="I15" s="9"/>
      <c r="J15" s="6" t="s">
        <v>224</v>
      </c>
      <c r="K15" s="6"/>
    </row>
    <row r="16" spans="1:11" x14ac:dyDescent="0.2">
      <c r="A16" s="6" t="s">
        <v>142</v>
      </c>
      <c r="B16" s="6"/>
      <c r="C16" s="11" t="s">
        <v>140</v>
      </c>
      <c r="D16" s="6" t="s">
        <v>40</v>
      </c>
      <c r="E16" s="6" t="s">
        <v>139</v>
      </c>
      <c r="F16" s="6"/>
      <c r="G16" s="6"/>
      <c r="H16" s="8" t="s">
        <v>172</v>
      </c>
      <c r="I16" s="9"/>
      <c r="J16" s="6" t="s">
        <v>141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173</v>
      </c>
      <c r="I17" s="9"/>
      <c r="J17" s="6" t="s">
        <v>22</v>
      </c>
      <c r="K17" s="6" t="s">
        <v>20</v>
      </c>
    </row>
    <row r="18" spans="1:11" x14ac:dyDescent="0.2">
      <c r="A18" s="5" t="s">
        <v>206</v>
      </c>
      <c r="B18" s="14"/>
      <c r="C18" s="5" t="s">
        <v>208</v>
      </c>
      <c r="D18" s="6"/>
      <c r="E18" s="6" t="s">
        <v>207</v>
      </c>
      <c r="F18" s="6"/>
      <c r="G18" s="6" t="s">
        <v>238</v>
      </c>
      <c r="H18" s="8" t="s">
        <v>172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185</v>
      </c>
      <c r="F19" s="6"/>
      <c r="G19" s="6"/>
      <c r="H19" s="8" t="s">
        <v>172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176</v>
      </c>
      <c r="C20" s="5" t="s">
        <v>186</v>
      </c>
      <c r="D20" s="6"/>
      <c r="E20" s="6" t="s">
        <v>187</v>
      </c>
      <c r="F20" s="7"/>
      <c r="G20" s="7" t="s">
        <v>250</v>
      </c>
      <c r="H20" s="8" t="s">
        <v>172</v>
      </c>
      <c r="I20" s="9"/>
      <c r="J20" s="6"/>
      <c r="K20" s="6"/>
    </row>
    <row r="21" spans="1:11" x14ac:dyDescent="0.2">
      <c r="A21" s="5" t="s">
        <v>7</v>
      </c>
      <c r="B21" s="5" t="s">
        <v>189</v>
      </c>
      <c r="C21" s="5"/>
      <c r="D21" s="6"/>
      <c r="E21" s="6" t="s">
        <v>188</v>
      </c>
      <c r="F21" s="7"/>
      <c r="G21" s="7"/>
      <c r="H21" s="8" t="s">
        <v>172</v>
      </c>
      <c r="I21" s="9"/>
      <c r="J21" s="5" t="s">
        <v>169</v>
      </c>
      <c r="K21" s="6"/>
    </row>
    <row r="22" spans="1:11" x14ac:dyDescent="0.2">
      <c r="A22" s="5" t="s">
        <v>7</v>
      </c>
      <c r="B22" s="5" t="s">
        <v>167</v>
      </c>
      <c r="C22" s="5"/>
      <c r="D22" s="6"/>
      <c r="E22" s="6"/>
      <c r="F22" s="7"/>
      <c r="G22" s="7"/>
      <c r="H22" s="8" t="s">
        <v>173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172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176</v>
      </c>
      <c r="C24" s="15" t="s">
        <v>153</v>
      </c>
      <c r="D24" s="6"/>
      <c r="E24" s="15" t="s">
        <v>177</v>
      </c>
      <c r="F24" s="6"/>
      <c r="G24" s="6" t="s">
        <v>249</v>
      </c>
      <c r="H24" s="8" t="s">
        <v>172</v>
      </c>
      <c r="I24" s="9"/>
      <c r="J24" s="6" t="s">
        <v>170</v>
      </c>
      <c r="K24" s="6"/>
    </row>
    <row r="25" spans="1:11" x14ac:dyDescent="0.2">
      <c r="A25" s="5" t="s">
        <v>1</v>
      </c>
      <c r="B25" s="5" t="s">
        <v>181</v>
      </c>
      <c r="C25" s="17" t="s">
        <v>168</v>
      </c>
      <c r="D25" s="6"/>
      <c r="E25" s="6" t="s">
        <v>182</v>
      </c>
      <c r="F25" s="6"/>
      <c r="G25" s="6" t="s">
        <v>249</v>
      </c>
      <c r="H25" s="8" t="s">
        <v>172</v>
      </c>
      <c r="I25" s="9"/>
      <c r="J25" s="6" t="s">
        <v>167</v>
      </c>
      <c r="K25" s="6"/>
    </row>
    <row r="26" spans="1:11" x14ac:dyDescent="0.2">
      <c r="A26" s="5" t="s">
        <v>1</v>
      </c>
      <c r="B26" s="5" t="s">
        <v>180</v>
      </c>
      <c r="C26" s="15" t="s">
        <v>178</v>
      </c>
      <c r="D26" s="6"/>
      <c r="E26" s="15" t="s">
        <v>179</v>
      </c>
      <c r="F26" s="6"/>
      <c r="G26" s="6" t="s">
        <v>249</v>
      </c>
      <c r="H26" s="8" t="s">
        <v>172</v>
      </c>
      <c r="I26" s="9"/>
      <c r="J26" s="6" t="s">
        <v>183</v>
      </c>
      <c r="K26" s="6"/>
    </row>
    <row r="27" spans="1:11" x14ac:dyDescent="0.2">
      <c r="A27" s="5" t="s">
        <v>174</v>
      </c>
      <c r="B27" s="5" t="s">
        <v>176</v>
      </c>
      <c r="C27" s="5" t="s">
        <v>191</v>
      </c>
      <c r="D27" s="6"/>
      <c r="E27" s="6" t="s">
        <v>192</v>
      </c>
      <c r="F27" s="7"/>
      <c r="G27" s="7"/>
      <c r="H27" s="8" t="s">
        <v>172</v>
      </c>
      <c r="I27" s="9"/>
      <c r="J27" s="6" t="s">
        <v>170</v>
      </c>
      <c r="K27" s="6"/>
    </row>
    <row r="28" spans="1:11" x14ac:dyDescent="0.2">
      <c r="A28" s="5" t="s">
        <v>174</v>
      </c>
      <c r="B28" s="5" t="s">
        <v>181</v>
      </c>
      <c r="C28" s="5" t="s">
        <v>190</v>
      </c>
      <c r="D28" s="6"/>
      <c r="E28" s="6" t="s">
        <v>184</v>
      </c>
      <c r="F28" s="7"/>
      <c r="G28" s="7" t="s">
        <v>236</v>
      </c>
      <c r="H28" s="8" t="s">
        <v>173</v>
      </c>
      <c r="I28" s="9"/>
      <c r="J28" s="6" t="s">
        <v>167</v>
      </c>
      <c r="K28" s="6"/>
    </row>
    <row r="29" spans="1:11" ht="17" x14ac:dyDescent="0.2">
      <c r="A29" s="5" t="s">
        <v>174</v>
      </c>
      <c r="B29" s="5"/>
      <c r="C29" s="5"/>
      <c r="D29" s="6"/>
      <c r="E29" s="6"/>
      <c r="F29" s="7"/>
      <c r="G29" s="7"/>
      <c r="H29" s="8" t="s">
        <v>172</v>
      </c>
      <c r="I29" s="1" t="s">
        <v>262</v>
      </c>
      <c r="J29" s="6" t="s">
        <v>256</v>
      </c>
      <c r="K29" s="6"/>
    </row>
    <row r="30" spans="1:11" x14ac:dyDescent="0.2">
      <c r="A30" s="6" t="s">
        <v>135</v>
      </c>
      <c r="B30" s="6"/>
      <c r="C30" s="6" t="s">
        <v>137</v>
      </c>
      <c r="D30" s="6" t="s">
        <v>105</v>
      </c>
      <c r="E30" s="6"/>
      <c r="F30" s="7"/>
      <c r="G30" s="7"/>
      <c r="H30" s="8" t="s">
        <v>173</v>
      </c>
      <c r="I30" s="9"/>
      <c r="J30" s="6" t="s">
        <v>138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173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173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173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173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173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173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173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173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173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137</v>
      </c>
      <c r="D40" s="6" t="s">
        <v>105</v>
      </c>
      <c r="E40" s="6" t="s">
        <v>136</v>
      </c>
      <c r="F40" s="7" t="str">
        <f>CONCATENATE("http://", E40)</f>
        <v>http://192.168.0.22</v>
      </c>
      <c r="G40" s="7" t="s">
        <v>238</v>
      </c>
      <c r="H40" s="8" t="s">
        <v>173</v>
      </c>
      <c r="I40" s="9"/>
      <c r="J40" s="6" t="s">
        <v>128</v>
      </c>
      <c r="K40" s="12"/>
    </row>
    <row r="41" spans="1:11" x14ac:dyDescent="0.2">
      <c r="A41" s="6" t="s">
        <v>32</v>
      </c>
      <c r="B41" s="6"/>
      <c r="C41" s="6" t="s">
        <v>134</v>
      </c>
      <c r="D41" s="6" t="s">
        <v>105</v>
      </c>
      <c r="E41" s="6" t="s">
        <v>133</v>
      </c>
      <c r="F41" s="7" t="str">
        <f>CONCATENATE("http://", E41)</f>
        <v>http://192.168.0.23</v>
      </c>
      <c r="G41" s="7" t="s">
        <v>238</v>
      </c>
      <c r="H41" s="8" t="s">
        <v>173</v>
      </c>
      <c r="I41" s="9"/>
      <c r="J41" s="6" t="s">
        <v>128</v>
      </c>
      <c r="K41" s="12"/>
    </row>
    <row r="42" spans="1:11" x14ac:dyDescent="0.2">
      <c r="A42" s="6" t="s">
        <v>11</v>
      </c>
      <c r="B42" s="6"/>
      <c r="C42" s="6" t="s">
        <v>132</v>
      </c>
      <c r="D42" s="6" t="s">
        <v>105</v>
      </c>
      <c r="E42" s="6" t="s">
        <v>131</v>
      </c>
      <c r="F42" s="7" t="str">
        <f>CONCATENATE("http://", E42)</f>
        <v>http://192.168.0.24</v>
      </c>
      <c r="G42" s="7" t="s">
        <v>238</v>
      </c>
      <c r="H42" s="8" t="s">
        <v>173</v>
      </c>
      <c r="I42" s="9"/>
      <c r="J42" s="6" t="s">
        <v>128</v>
      </c>
      <c r="K42" s="12"/>
    </row>
    <row r="43" spans="1:11" x14ac:dyDescent="0.2">
      <c r="A43" s="6" t="s">
        <v>0</v>
      </c>
      <c r="B43" s="6"/>
      <c r="C43" s="6" t="s">
        <v>130</v>
      </c>
      <c r="D43" s="6" t="s">
        <v>105</v>
      </c>
      <c r="E43" s="15" t="s">
        <v>129</v>
      </c>
      <c r="F43" s="7" t="str">
        <f>CONCATENATE("http://", E43)</f>
        <v>http://192.168.0.25</v>
      </c>
      <c r="G43" s="7" t="s">
        <v>238</v>
      </c>
      <c r="H43" s="8" t="s">
        <v>173</v>
      </c>
      <c r="I43" s="9"/>
      <c r="J43" s="6" t="s">
        <v>128</v>
      </c>
      <c r="K43" s="6"/>
    </row>
    <row r="44" spans="1:11" x14ac:dyDescent="0.2">
      <c r="A44" s="6" t="s">
        <v>29</v>
      </c>
      <c r="B44" s="6"/>
      <c r="C44" s="6" t="s">
        <v>127</v>
      </c>
      <c r="D44" s="6" t="s">
        <v>105</v>
      </c>
      <c r="E44" s="6" t="s">
        <v>126</v>
      </c>
      <c r="F44" s="7" t="str">
        <f>CONCATENATE("http://", E44)</f>
        <v>http://192.168.0.26</v>
      </c>
      <c r="G44" s="7" t="s">
        <v>238</v>
      </c>
      <c r="H44" s="8" t="s">
        <v>173</v>
      </c>
      <c r="I44" s="9"/>
      <c r="J44" s="6" t="s">
        <v>128</v>
      </c>
      <c r="K44" s="12"/>
    </row>
    <row r="45" spans="1:11" x14ac:dyDescent="0.2">
      <c r="A45" s="6" t="s">
        <v>46</v>
      </c>
      <c r="B45" s="6" t="s">
        <v>196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173</v>
      </c>
      <c r="I45" s="9"/>
      <c r="J45" s="6" t="s">
        <v>42</v>
      </c>
      <c r="K45" s="6" t="s">
        <v>257</v>
      </c>
    </row>
    <row r="46" spans="1:11" x14ac:dyDescent="0.2">
      <c r="A46" s="6" t="s">
        <v>46</v>
      </c>
      <c r="B46" s="5" t="s">
        <v>200</v>
      </c>
      <c r="C46" s="5"/>
      <c r="D46" s="6"/>
      <c r="E46" s="6"/>
      <c r="F46" s="6"/>
      <c r="G46" s="7"/>
      <c r="H46" s="8" t="s">
        <v>173</v>
      </c>
      <c r="I46" s="9"/>
      <c r="J46" s="6" t="s">
        <v>220</v>
      </c>
      <c r="K46" s="6"/>
    </row>
    <row r="47" spans="1:11" x14ac:dyDescent="0.2">
      <c r="A47" s="6" t="s">
        <v>43</v>
      </c>
      <c r="B47" s="6" t="s">
        <v>196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173</v>
      </c>
      <c r="I47" s="9"/>
      <c r="J47" s="6" t="s">
        <v>42</v>
      </c>
      <c r="K47" s="6" t="s">
        <v>257</v>
      </c>
    </row>
    <row r="48" spans="1:11" x14ac:dyDescent="0.2">
      <c r="A48" s="6" t="s">
        <v>43</v>
      </c>
      <c r="B48" s="5" t="s">
        <v>200</v>
      </c>
      <c r="C48" s="5"/>
      <c r="D48" s="6"/>
      <c r="E48" s="6"/>
      <c r="F48" s="6"/>
      <c r="G48" s="7"/>
      <c r="H48" s="8" t="s">
        <v>173</v>
      </c>
      <c r="I48" s="9"/>
      <c r="J48" s="6" t="s">
        <v>220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231</v>
      </c>
      <c r="F50" s="6"/>
      <c r="G50" s="6"/>
      <c r="H50" s="8" t="s">
        <v>172</v>
      </c>
      <c r="I50" s="9"/>
      <c r="J50" s="6" t="s">
        <v>232</v>
      </c>
      <c r="K50" s="6"/>
    </row>
    <row r="51" spans="1:11" x14ac:dyDescent="0.2">
      <c r="A51" s="6" t="s">
        <v>60</v>
      </c>
      <c r="B51" s="6"/>
      <c r="C51" s="23" t="s">
        <v>59</v>
      </c>
      <c r="D51" s="6" t="s">
        <v>40</v>
      </c>
      <c r="E51" s="6" t="s">
        <v>258</v>
      </c>
      <c r="F51" s="6"/>
      <c r="G51" s="6"/>
      <c r="H51" s="8" t="s">
        <v>172</v>
      </c>
      <c r="I51" s="9" t="s">
        <v>276</v>
      </c>
      <c r="J51" s="6" t="s">
        <v>49</v>
      </c>
      <c r="K51" s="6" t="s">
        <v>47</v>
      </c>
    </row>
    <row r="52" spans="1:11" x14ac:dyDescent="0.2">
      <c r="A52" s="6" t="s">
        <v>54</v>
      </c>
      <c r="B52" s="6"/>
      <c r="C52" s="23" t="s">
        <v>53</v>
      </c>
      <c r="D52" s="6" t="s">
        <v>40</v>
      </c>
      <c r="E52" s="6" t="s">
        <v>259</v>
      </c>
      <c r="F52" s="6"/>
      <c r="G52" s="6"/>
      <c r="H52" s="8" t="s">
        <v>172</v>
      </c>
      <c r="I52" s="9" t="s">
        <v>276</v>
      </c>
      <c r="J52" s="6" t="s">
        <v>49</v>
      </c>
      <c r="K52" s="6" t="s">
        <v>47</v>
      </c>
    </row>
    <row r="53" spans="1:11" x14ac:dyDescent="0.2">
      <c r="A53" s="6" t="s">
        <v>52</v>
      </c>
      <c r="B53" s="6"/>
      <c r="C53" s="23" t="s">
        <v>51</v>
      </c>
      <c r="D53" s="6" t="s">
        <v>40</v>
      </c>
      <c r="E53" s="6" t="s">
        <v>260</v>
      </c>
      <c r="F53" s="6"/>
      <c r="G53" s="6"/>
      <c r="H53" s="8" t="s">
        <v>172</v>
      </c>
      <c r="I53" s="9" t="s">
        <v>276</v>
      </c>
      <c r="J53" s="6" t="s">
        <v>49</v>
      </c>
      <c r="K53" s="6" t="s">
        <v>47</v>
      </c>
    </row>
    <row r="54" spans="1:11" x14ac:dyDescent="0.2">
      <c r="A54" s="6" t="s">
        <v>50</v>
      </c>
      <c r="B54" s="6"/>
      <c r="C54" s="23" t="s">
        <v>48</v>
      </c>
      <c r="D54" s="6" t="s">
        <v>40</v>
      </c>
      <c r="E54" s="6" t="s">
        <v>261</v>
      </c>
      <c r="F54" s="6"/>
      <c r="G54" s="6"/>
      <c r="H54" s="8" t="s">
        <v>172</v>
      </c>
      <c r="I54" s="9" t="s">
        <v>276</v>
      </c>
      <c r="J54" s="6" t="s">
        <v>49</v>
      </c>
      <c r="K54" s="6" t="s">
        <v>47</v>
      </c>
    </row>
    <row r="55" spans="1:11" x14ac:dyDescent="0.2">
      <c r="A55" s="10" t="s">
        <v>58</v>
      </c>
      <c r="B55" s="10"/>
      <c r="C55" s="6" t="s">
        <v>56</v>
      </c>
      <c r="D55" s="6" t="s">
        <v>40</v>
      </c>
      <c r="E55" s="6" t="s">
        <v>55</v>
      </c>
      <c r="F55" s="6" t="str">
        <f>CONCATENATE("http://", E55, ":8080")</f>
        <v>http://192.168.0.197:8080</v>
      </c>
      <c r="G55" s="6" t="s">
        <v>237</v>
      </c>
      <c r="H55" s="8" t="s">
        <v>172</v>
      </c>
      <c r="I55" s="9"/>
      <c r="J55" s="6" t="s">
        <v>57</v>
      </c>
      <c r="K55" s="6"/>
    </row>
    <row r="56" spans="1:11" x14ac:dyDescent="0.2">
      <c r="A56" s="6" t="s">
        <v>125</v>
      </c>
      <c r="B56" s="6"/>
      <c r="C56" s="6" t="s">
        <v>123</v>
      </c>
      <c r="D56" s="6" t="s">
        <v>40</v>
      </c>
      <c r="E56" s="6" t="s">
        <v>122</v>
      </c>
      <c r="F56" s="7" t="str">
        <f>CONCATENATE("http://", E56)</f>
        <v>http://192.168.0.186</v>
      </c>
      <c r="G56" s="7"/>
      <c r="H56" s="8" t="s">
        <v>172</v>
      </c>
      <c r="I56" s="9"/>
      <c r="J56" s="6" t="s">
        <v>124</v>
      </c>
      <c r="K56" s="6" t="s">
        <v>75</v>
      </c>
    </row>
    <row r="57" spans="1:11" x14ac:dyDescent="0.2">
      <c r="A57" s="6" t="s">
        <v>121</v>
      </c>
      <c r="B57" s="6"/>
      <c r="C57" s="18" t="s">
        <v>119</v>
      </c>
      <c r="D57" s="6" t="s">
        <v>40</v>
      </c>
      <c r="E57" s="6" t="s">
        <v>118</v>
      </c>
      <c r="F57" s="7" t="str">
        <f>CONCATENATE("http://", E57)</f>
        <v>http://192.168.0.187</v>
      </c>
      <c r="G57" s="7"/>
      <c r="H57" s="8" t="s">
        <v>172</v>
      </c>
      <c r="I57" s="9"/>
      <c r="J57" s="6" t="s">
        <v>120</v>
      </c>
      <c r="K57" s="6" t="s">
        <v>71</v>
      </c>
    </row>
    <row r="58" spans="1:11" x14ac:dyDescent="0.2">
      <c r="A58" s="6" t="s">
        <v>117</v>
      </c>
      <c r="B58" s="6"/>
      <c r="C58" s="6" t="s">
        <v>115</v>
      </c>
      <c r="D58" s="6" t="s">
        <v>40</v>
      </c>
      <c r="E58" s="6" t="s">
        <v>114</v>
      </c>
      <c r="F58" s="7" t="str">
        <f>CONCATENATE("http://", E58)</f>
        <v>http://192.168.0.188</v>
      </c>
      <c r="G58" s="7"/>
      <c r="H58" s="8" t="s">
        <v>172</v>
      </c>
      <c r="I58" s="9" t="s">
        <v>276</v>
      </c>
      <c r="J58" s="6" t="s">
        <v>116</v>
      </c>
      <c r="K58" s="6" t="s">
        <v>66</v>
      </c>
    </row>
    <row r="59" spans="1:11" x14ac:dyDescent="0.2">
      <c r="A59" s="19" t="s">
        <v>113</v>
      </c>
      <c r="B59" s="6"/>
      <c r="C59" s="6" t="s">
        <v>111</v>
      </c>
      <c r="D59" s="6" t="s">
        <v>105</v>
      </c>
      <c r="E59" s="6" t="s">
        <v>110</v>
      </c>
      <c r="F59" s="7" t="str">
        <f>CONCATENATE("http://", E59)</f>
        <v>http://192.168.0.180</v>
      </c>
      <c r="G59" s="7"/>
      <c r="H59" s="8" t="s">
        <v>173</v>
      </c>
      <c r="I59" s="9"/>
      <c r="J59" s="6" t="s">
        <v>112</v>
      </c>
      <c r="K59" s="6" t="s">
        <v>109</v>
      </c>
    </row>
    <row r="60" spans="1:11" x14ac:dyDescent="0.2">
      <c r="A60" s="6" t="s">
        <v>108</v>
      </c>
      <c r="B60" s="6"/>
      <c r="C60" s="6" t="s">
        <v>106</v>
      </c>
      <c r="D60" s="6" t="s">
        <v>105</v>
      </c>
      <c r="E60" s="6" t="s">
        <v>104</v>
      </c>
      <c r="F60" s="7" t="str">
        <f>CONCATENATE("http://", E60)</f>
        <v>http://192.168.0.181</v>
      </c>
      <c r="G60" s="7"/>
      <c r="H60" s="8" t="s">
        <v>173</v>
      </c>
      <c r="I60" s="9"/>
      <c r="J60" s="6" t="s">
        <v>107</v>
      </c>
      <c r="K60" s="6" t="s">
        <v>103</v>
      </c>
    </row>
    <row r="61" spans="1:11" x14ac:dyDescent="0.2">
      <c r="A61" s="20" t="s">
        <v>233</v>
      </c>
      <c r="B61" s="5"/>
      <c r="C61" s="6" t="s">
        <v>14</v>
      </c>
      <c r="D61" s="6"/>
      <c r="E61" s="6" t="s">
        <v>155</v>
      </c>
      <c r="F61" s="6"/>
      <c r="G61" s="6"/>
      <c r="H61" s="8" t="s">
        <v>173</v>
      </c>
      <c r="I61" s="9"/>
      <c r="J61" s="6" t="s">
        <v>15</v>
      </c>
      <c r="K61" s="6"/>
    </row>
    <row r="62" spans="1:11" x14ac:dyDescent="0.2">
      <c r="A62" s="5" t="s">
        <v>156</v>
      </c>
      <c r="B62" s="5"/>
      <c r="C62" s="6" t="s">
        <v>157</v>
      </c>
      <c r="D62" s="6"/>
      <c r="E62" s="6" t="s">
        <v>194</v>
      </c>
      <c r="F62" s="6"/>
      <c r="G62" s="6"/>
      <c r="H62" s="21" t="s">
        <v>172</v>
      </c>
      <c r="I62" s="9"/>
      <c r="J62" s="6" t="s">
        <v>193</v>
      </c>
      <c r="K62" s="6"/>
    </row>
    <row r="63" spans="1:11" x14ac:dyDescent="0.2">
      <c r="A63" s="6" t="s">
        <v>98</v>
      </c>
      <c r="B63" s="6"/>
      <c r="C63" s="6" t="s">
        <v>283</v>
      </c>
      <c r="D63" s="6" t="s">
        <v>40</v>
      </c>
      <c r="E63" s="6" t="s">
        <v>286</v>
      </c>
      <c r="F63" s="7" t="str">
        <f>CONCATENATE("http://", E63)</f>
        <v>http://192.168.201.110</v>
      </c>
      <c r="G63" s="24" t="s">
        <v>238</v>
      </c>
      <c r="H63" s="21" t="s">
        <v>172</v>
      </c>
      <c r="I63" s="9"/>
      <c r="J63" s="6" t="s">
        <v>97</v>
      </c>
      <c r="K63" s="12" t="s">
        <v>87</v>
      </c>
    </row>
    <row r="64" spans="1:11" x14ac:dyDescent="0.2">
      <c r="A64" s="6" t="s">
        <v>91</v>
      </c>
      <c r="B64" s="6"/>
      <c r="C64" s="6" t="s">
        <v>89</v>
      </c>
      <c r="D64" s="6" t="s">
        <v>40</v>
      </c>
      <c r="E64" s="6" t="s">
        <v>88</v>
      </c>
      <c r="F64" s="7" t="str">
        <f>CONCATENATE("http://", E64)</f>
        <v>http://192.168.0.192</v>
      </c>
      <c r="G64" s="7"/>
      <c r="H64" s="21" t="s">
        <v>173</v>
      </c>
      <c r="I64" s="9"/>
      <c r="J64" s="6" t="s">
        <v>90</v>
      </c>
      <c r="K64" s="12" t="s">
        <v>87</v>
      </c>
    </row>
    <row r="65" spans="1:11" x14ac:dyDescent="0.2">
      <c r="A65" s="6" t="s">
        <v>96</v>
      </c>
      <c r="B65" s="6"/>
      <c r="C65" s="6" t="s">
        <v>94</v>
      </c>
      <c r="D65" s="6" t="s">
        <v>40</v>
      </c>
      <c r="E65" s="6" t="s">
        <v>93</v>
      </c>
      <c r="F65" s="6"/>
      <c r="G65" s="6"/>
      <c r="H65" s="21" t="s">
        <v>173</v>
      </c>
      <c r="I65" s="9"/>
      <c r="J65" s="6" t="s">
        <v>95</v>
      </c>
      <c r="K65" s="6" t="s">
        <v>92</v>
      </c>
    </row>
    <row r="66" spans="1:11" x14ac:dyDescent="0.2">
      <c r="A66" s="6" t="s">
        <v>102</v>
      </c>
      <c r="B66" s="6"/>
      <c r="C66" s="6" t="s">
        <v>100</v>
      </c>
      <c r="D66" s="6" t="s">
        <v>40</v>
      </c>
      <c r="E66" s="6" t="s">
        <v>99</v>
      </c>
      <c r="F66" s="6"/>
      <c r="G66" s="6"/>
      <c r="H66" s="21" t="s">
        <v>172</v>
      </c>
      <c r="I66" s="9" t="s">
        <v>276</v>
      </c>
      <c r="J66" s="6" t="s">
        <v>101</v>
      </c>
      <c r="K66" s="12" t="s">
        <v>79</v>
      </c>
    </row>
    <row r="67" spans="1:11" x14ac:dyDescent="0.2">
      <c r="A67" s="6" t="s">
        <v>86</v>
      </c>
      <c r="B67" s="6"/>
      <c r="C67" s="6" t="s">
        <v>85</v>
      </c>
      <c r="D67" s="6" t="s">
        <v>40</v>
      </c>
      <c r="E67" s="6" t="s">
        <v>84</v>
      </c>
      <c r="F67" s="7" t="str">
        <f>CONCATENATE("ftp://", E67)</f>
        <v>ftp://192.168.0.189</v>
      </c>
      <c r="G67" s="7"/>
      <c r="H67" s="21" t="s">
        <v>172</v>
      </c>
      <c r="I67" s="9" t="s">
        <v>276</v>
      </c>
      <c r="J67" s="6" t="s">
        <v>82</v>
      </c>
      <c r="K67" s="12" t="s">
        <v>79</v>
      </c>
    </row>
    <row r="68" spans="1:11" x14ac:dyDescent="0.2">
      <c r="A68" s="6" t="s">
        <v>83</v>
      </c>
      <c r="B68" s="6"/>
      <c r="C68" s="6" t="s">
        <v>81</v>
      </c>
      <c r="D68" s="6" t="s">
        <v>40</v>
      </c>
      <c r="E68" s="6" t="s">
        <v>80</v>
      </c>
      <c r="F68" s="7" t="str">
        <f>CONCATENATE("ftp://", E68)</f>
        <v>ftp://192.168.0.190</v>
      </c>
      <c r="G68" s="7"/>
      <c r="H68" s="21" t="s">
        <v>172</v>
      </c>
      <c r="I68" s="9" t="s">
        <v>276</v>
      </c>
      <c r="J68" s="6" t="s">
        <v>82</v>
      </c>
      <c r="K68" s="12" t="s">
        <v>79</v>
      </c>
    </row>
    <row r="69" spans="1:11" x14ac:dyDescent="0.2">
      <c r="A69" s="6" t="s">
        <v>65</v>
      </c>
      <c r="B69" s="6"/>
      <c r="C69" s="6" t="s">
        <v>63</v>
      </c>
      <c r="D69" s="6" t="s">
        <v>40</v>
      </c>
      <c r="E69" s="6" t="s">
        <v>62</v>
      </c>
      <c r="F69" s="7" t="str">
        <f>CONCATENATE("http://", E69)</f>
        <v>http://192.168.0.183</v>
      </c>
      <c r="G69" s="7" t="s">
        <v>235</v>
      </c>
      <c r="H69" s="21" t="s">
        <v>172</v>
      </c>
      <c r="I69" s="9" t="s">
        <v>275</v>
      </c>
      <c r="J69" s="6" t="s">
        <v>64</v>
      </c>
      <c r="K69" s="6" t="s">
        <v>61</v>
      </c>
    </row>
    <row r="70" spans="1:11" x14ac:dyDescent="0.2">
      <c r="A70" s="6" t="s">
        <v>78</v>
      </c>
      <c r="B70" s="6"/>
      <c r="C70" s="6" t="s">
        <v>77</v>
      </c>
      <c r="D70" s="6" t="s">
        <v>40</v>
      </c>
      <c r="E70" s="6" t="s">
        <v>76</v>
      </c>
      <c r="F70" s="7" t="str">
        <f>CONCATENATE("http://", E70)</f>
        <v>http://192.168.0.193</v>
      </c>
      <c r="G70" s="7" t="s">
        <v>235</v>
      </c>
      <c r="H70" s="21" t="s">
        <v>173</v>
      </c>
      <c r="I70" s="9"/>
      <c r="J70" s="6" t="s">
        <v>69</v>
      </c>
      <c r="K70" s="6" t="s">
        <v>75</v>
      </c>
    </row>
    <row r="71" spans="1:11" x14ac:dyDescent="0.2">
      <c r="A71" s="6" t="s">
        <v>74</v>
      </c>
      <c r="B71" s="6"/>
      <c r="C71" s="6" t="s">
        <v>73</v>
      </c>
      <c r="D71" s="6" t="s">
        <v>40</v>
      </c>
      <c r="E71" s="6" t="s">
        <v>72</v>
      </c>
      <c r="F71" s="7" t="str">
        <f>CONCATENATE("http://", E71)</f>
        <v>http://192.168.0.194</v>
      </c>
      <c r="G71" s="7" t="s">
        <v>235</v>
      </c>
      <c r="H71" s="21" t="s">
        <v>173</v>
      </c>
      <c r="I71" s="9"/>
      <c r="J71" s="6" t="s">
        <v>69</v>
      </c>
      <c r="K71" s="6" t="s">
        <v>71</v>
      </c>
    </row>
    <row r="72" spans="1:11" x14ac:dyDescent="0.2">
      <c r="A72" s="6" t="s">
        <v>70</v>
      </c>
      <c r="B72" s="6"/>
      <c r="C72" s="6" t="s">
        <v>68</v>
      </c>
      <c r="D72" s="6" t="s">
        <v>40</v>
      </c>
      <c r="E72" s="6" t="s">
        <v>67</v>
      </c>
      <c r="F72" s="7" t="str">
        <f>CONCATENATE("http://", E72)</f>
        <v>http://192.168.0.195</v>
      </c>
      <c r="G72" s="7" t="s">
        <v>235</v>
      </c>
      <c r="H72" s="21" t="s">
        <v>173</v>
      </c>
      <c r="I72" s="9"/>
      <c r="J72" s="6" t="s">
        <v>69</v>
      </c>
      <c r="K72" s="6" t="s">
        <v>66</v>
      </c>
    </row>
    <row r="73" spans="1:11" x14ac:dyDescent="0.2">
      <c r="A73" s="5" t="s">
        <v>19</v>
      </c>
      <c r="B73" s="5"/>
      <c r="C73" s="6" t="s">
        <v>17</v>
      </c>
      <c r="D73" s="6"/>
      <c r="E73" s="6"/>
      <c r="F73" s="6"/>
      <c r="G73" s="6"/>
      <c r="H73" s="21" t="s">
        <v>173</v>
      </c>
      <c r="I73" s="9"/>
      <c r="J73" s="6" t="s">
        <v>18</v>
      </c>
      <c r="K73" s="6" t="s">
        <v>16</v>
      </c>
    </row>
    <row r="74" spans="1:11" x14ac:dyDescent="0.2">
      <c r="A74" s="5" t="s">
        <v>241</v>
      </c>
      <c r="B74" s="5"/>
      <c r="C74" s="6" t="s">
        <v>240</v>
      </c>
      <c r="D74" s="6"/>
      <c r="E74" s="6" t="s">
        <v>239</v>
      </c>
      <c r="F74" s="6"/>
      <c r="G74" s="22" t="s">
        <v>238</v>
      </c>
      <c r="H74" s="21" t="s">
        <v>172</v>
      </c>
      <c r="I74" s="9"/>
      <c r="J74" s="6" t="s">
        <v>242</v>
      </c>
      <c r="K74" s="6"/>
    </row>
    <row r="75" spans="1:11" x14ac:dyDescent="0.2">
      <c r="A75" s="5" t="s">
        <v>243</v>
      </c>
      <c r="B75" s="5"/>
      <c r="C75" s="5"/>
      <c r="D75" s="6"/>
      <c r="E75" s="6"/>
      <c r="F75" s="6"/>
      <c r="G75" s="22"/>
      <c r="H75" s="21" t="s">
        <v>173</v>
      </c>
      <c r="I75" s="9"/>
      <c r="J75" s="6"/>
      <c r="K75" s="6"/>
    </row>
    <row r="76" spans="1:11" x14ac:dyDescent="0.2">
      <c r="A76" s="5" t="s">
        <v>244</v>
      </c>
      <c r="B76" s="5"/>
      <c r="C76" s="5"/>
      <c r="D76" s="6"/>
      <c r="E76" s="6" t="s">
        <v>246</v>
      </c>
      <c r="F76" s="6"/>
      <c r="G76" s="22"/>
      <c r="H76" s="21"/>
      <c r="I76" s="9"/>
      <c r="J76" s="6"/>
      <c r="K76" s="6"/>
    </row>
    <row r="77" spans="1:11" x14ac:dyDescent="0.2">
      <c r="A77" s="5" t="s">
        <v>245</v>
      </c>
      <c r="B77" s="5"/>
      <c r="C77" s="5"/>
      <c r="D77" s="6"/>
      <c r="E77" s="6" t="s">
        <v>247</v>
      </c>
      <c r="F77" s="6"/>
      <c r="G77" s="22" t="s">
        <v>254</v>
      </c>
      <c r="H77" s="21" t="s">
        <v>172</v>
      </c>
      <c r="I77" s="9"/>
      <c r="J77" s="6" t="s">
        <v>248</v>
      </c>
      <c r="K77" s="6"/>
    </row>
    <row r="78" spans="1:11" x14ac:dyDescent="0.2">
      <c r="A78" s="5" t="s">
        <v>255</v>
      </c>
      <c r="B78" s="5"/>
      <c r="C78" s="5"/>
      <c r="D78" s="6"/>
      <c r="E78" s="15" t="s">
        <v>251</v>
      </c>
      <c r="F78" s="6"/>
      <c r="G78" s="22" t="s">
        <v>253</v>
      </c>
      <c r="H78" s="21" t="s">
        <v>172</v>
      </c>
      <c r="I78" s="9"/>
      <c r="J78" s="6" t="s">
        <v>252</v>
      </c>
      <c r="K78" s="6"/>
    </row>
    <row r="79" spans="1:11" x14ac:dyDescent="0.2">
      <c r="A79" s="5" t="s">
        <v>263</v>
      </c>
      <c r="B79" s="5"/>
      <c r="C79" s="5" t="s">
        <v>264</v>
      </c>
      <c r="D79" s="6" t="s">
        <v>40</v>
      </c>
      <c r="E79" s="6" t="s">
        <v>268</v>
      </c>
      <c r="F79" s="6"/>
      <c r="G79" s="7" t="s">
        <v>235</v>
      </c>
      <c r="H79" s="21" t="s">
        <v>172</v>
      </c>
      <c r="I79" s="9"/>
      <c r="J79" s="6" t="s">
        <v>69</v>
      </c>
      <c r="K79" s="6"/>
    </row>
    <row r="80" spans="1:11" x14ac:dyDescent="0.2">
      <c r="A80" s="5" t="s">
        <v>265</v>
      </c>
      <c r="B80" s="5"/>
      <c r="C80" s="5" t="s">
        <v>267</v>
      </c>
      <c r="D80" s="6" t="s">
        <v>40</v>
      </c>
      <c r="E80" s="6" t="s">
        <v>269</v>
      </c>
      <c r="F80" s="6"/>
      <c r="G80" s="7" t="s">
        <v>235</v>
      </c>
      <c r="H80" s="21" t="s">
        <v>172</v>
      </c>
      <c r="I80" s="9"/>
      <c r="J80" s="6" t="s">
        <v>69</v>
      </c>
      <c r="K80" s="6"/>
    </row>
    <row r="81" spans="1:11" x14ac:dyDescent="0.2">
      <c r="A81" s="5" t="s">
        <v>266</v>
      </c>
      <c r="B81" s="5"/>
      <c r="C81" s="5" t="s">
        <v>271</v>
      </c>
      <c r="D81" s="6" t="s">
        <v>40</v>
      </c>
      <c r="E81" s="6" t="s">
        <v>270</v>
      </c>
      <c r="F81" s="6"/>
      <c r="G81" s="7" t="s">
        <v>235</v>
      </c>
      <c r="H81" s="21" t="s">
        <v>172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/>
      <c r="D82" s="6"/>
      <c r="E82" s="6" t="s">
        <v>272</v>
      </c>
      <c r="F82" s="6"/>
      <c r="G82" s="22" t="s">
        <v>238</v>
      </c>
      <c r="H82" s="21" t="s">
        <v>172</v>
      </c>
      <c r="I82" s="9"/>
      <c r="J82" s="6" t="s">
        <v>274</v>
      </c>
      <c r="K82" s="6"/>
    </row>
    <row r="83" spans="1:11" x14ac:dyDescent="0.2">
      <c r="A83" s="5" t="s">
        <v>277</v>
      </c>
      <c r="B83" s="5"/>
      <c r="C83" s="5" t="s">
        <v>278</v>
      </c>
      <c r="D83" s="6"/>
      <c r="E83" s="6" t="s">
        <v>280</v>
      </c>
      <c r="F83" s="6"/>
      <c r="G83" s="22"/>
      <c r="H83" s="21" t="s">
        <v>173</v>
      </c>
      <c r="I83" s="9"/>
      <c r="J83" s="6" t="s">
        <v>279</v>
      </c>
      <c r="K83" s="6"/>
    </row>
    <row r="84" spans="1:11" x14ac:dyDescent="0.2">
      <c r="A84" s="5"/>
      <c r="B84" s="5"/>
      <c r="C84" s="5" t="s">
        <v>284</v>
      </c>
      <c r="D84" s="6"/>
      <c r="E84" s="6"/>
      <c r="F84" s="6"/>
      <c r="G84" s="22"/>
      <c r="H84" s="21"/>
      <c r="I84" s="9"/>
      <c r="J84" s="6"/>
      <c r="K84" s="6" t="s">
        <v>285</v>
      </c>
    </row>
    <row r="85" spans="1:11" x14ac:dyDescent="0.2">
      <c r="A85" s="5" t="s">
        <v>287</v>
      </c>
      <c r="B85" s="5"/>
      <c r="C85" s="5" t="s">
        <v>289</v>
      </c>
      <c r="D85" s="6"/>
      <c r="E85" s="6" t="s">
        <v>292</v>
      </c>
      <c r="F85" s="6"/>
      <c r="G85" s="22" t="s">
        <v>238</v>
      </c>
      <c r="H85" s="21" t="s">
        <v>172</v>
      </c>
      <c r="I85" s="9"/>
      <c r="J85" s="6" t="s">
        <v>290</v>
      </c>
      <c r="K85" s="6"/>
    </row>
    <row r="86" spans="1:11" x14ac:dyDescent="0.2">
      <c r="A86" s="5" t="s">
        <v>288</v>
      </c>
      <c r="B86" s="5"/>
      <c r="C86" s="5" t="s">
        <v>291</v>
      </c>
      <c r="D86" s="6"/>
      <c r="E86" s="6" t="s">
        <v>293</v>
      </c>
      <c r="F86" s="6"/>
      <c r="G86" s="22" t="s">
        <v>238</v>
      </c>
      <c r="H86" s="21" t="s">
        <v>172</v>
      </c>
      <c r="I86" s="9"/>
      <c r="J86" s="6" t="s">
        <v>290</v>
      </c>
      <c r="K86" s="6"/>
    </row>
    <row r="87" spans="1:11" ht="18" thickBot="1" x14ac:dyDescent="0.25">
      <c r="A87" s="25" t="s">
        <v>296</v>
      </c>
      <c r="B87" s="25"/>
      <c r="C87" s="25" t="s">
        <v>294</v>
      </c>
      <c r="D87" s="26"/>
      <c r="E87" s="1" t="s">
        <v>295</v>
      </c>
      <c r="F87" s="26"/>
      <c r="G87" s="22"/>
      <c r="H87" s="21" t="s">
        <v>172</v>
      </c>
      <c r="I87" s="27"/>
      <c r="J87" s="26" t="s">
        <v>297</v>
      </c>
      <c r="K87" s="26"/>
    </row>
    <row r="88" spans="1:11" ht="17" thickTop="1" x14ac:dyDescent="0.2">
      <c r="A88" s="28" t="s">
        <v>298</v>
      </c>
      <c r="B88" s="25"/>
      <c r="C88" s="25"/>
      <c r="D88" s="26"/>
      <c r="E88" s="26" t="s">
        <v>299</v>
      </c>
      <c r="F88" s="26"/>
      <c r="G88" s="22"/>
      <c r="H88" s="21" t="s">
        <v>172</v>
      </c>
      <c r="I88" s="27"/>
      <c r="J88" s="26"/>
      <c r="K88" s="26"/>
    </row>
    <row r="89" spans="1:11" x14ac:dyDescent="0.2">
      <c r="H89"/>
      <c r="I89"/>
    </row>
    <row r="90" spans="1:11" x14ac:dyDescent="0.2">
      <c r="H90"/>
      <c r="I90"/>
    </row>
    <row r="91" spans="1:11" x14ac:dyDescent="0.2">
      <c r="H91"/>
      <c r="I91"/>
    </row>
    <row r="92" spans="1:11" x14ac:dyDescent="0.2">
      <c r="H92"/>
      <c r="I92"/>
    </row>
    <row r="93" spans="1:11" x14ac:dyDescent="0.2">
      <c r="H93"/>
      <c r="I93"/>
    </row>
    <row r="94" spans="1:11" x14ac:dyDescent="0.2">
      <c r="H94"/>
      <c r="I94"/>
    </row>
    <row r="95" spans="1:11" x14ac:dyDescent="0.2">
      <c r="H95"/>
      <c r="I95"/>
    </row>
    <row r="96" spans="1:11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</sheetData>
  <hyperlinks>
    <hyperlink ref="F63" r:id="rId1" display="http://192.169.0.112" xr:uid="{D2404E72-FA69-6648-ACE3-1F155CD355DD}"/>
    <hyperlink ref="F69" r:id="rId2" display="http://192.169.0.112" xr:uid="{3F5BA59D-C194-FC49-9DCB-1F6B1CEAE85A}"/>
    <hyperlink ref="F60" r:id="rId3" display="http://192.169.0.112" xr:uid="{80722F7C-2A8A-4A43-A5D3-BCFFE30BBC25}"/>
    <hyperlink ref="F59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64" r:id="rId7" display="http://192.169.0.112" xr:uid="{206574CD-0A69-6A49-BF19-8696C0B23754}"/>
    <hyperlink ref="F21:F23" r:id="rId8" display="http://192.169.0.112" xr:uid="{ABAD7AC1-281C-974C-8BD8-79EEDE34950A}"/>
    <hyperlink ref="F67" r:id="rId9" display="http://192.169.0.112" xr:uid="{2FA0DCAE-2864-024C-9351-79F3CBFD408D}"/>
    <hyperlink ref="F68" r:id="rId10" display="http://192.169.0.112" xr:uid="{0E717F48-1348-0440-9A96-15E3AB13C8AE}"/>
    <hyperlink ref="F2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2026-05-08T14:03:46Z</dcterms:modified>
</cp:coreProperties>
</file>